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ackend" sheetId="2" state="visible" r:id="rId4"/>
    <sheet name="Question Bank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W21" authorId="0">
      <text>
        <r>
          <rPr>
            <sz val="10"/>
            <rFont val="Arial"/>
            <family val="2"/>
          </rPr>
          <t xml:space="preserve">2 = recent concrete example of meeting and adding value to other Christian businesses
1 = willing, no example yet
0 = not a priority</t>
        </r>
      </text>
    </comment>
    <comment ref="AC21" authorId="0">
      <text>
        <r>
          <rPr>
            <sz val="10"/>
            <rFont val="Arial"/>
            <family val="2"/>
          </rPr>
          <t xml:space="preserve">Not a fit: Gate A failed, a cross-check concern is unresolved, or the business is not Christian-led.
Development pathway: Gate B or C failed, or intent below the nurture score.
Otherwise graded by intent score against Settings.</t>
        </r>
      </text>
    </comment>
  </commentList>
</comments>
</file>

<file path=xl/sharedStrings.xml><?xml version="1.0" encoding="utf-8"?>
<sst xmlns="http://schemas.openxmlformats.org/spreadsheetml/2006/main" count="281" uniqueCount="179">
  <si>
    <t xml:space="preserve">City on a Hill  |  Growth Partner Dashboard</t>
  </si>
  <si>
    <t xml:space="preserve">Live view of every prospect screened. Updates as the Backend is filled in.</t>
  </si>
  <si>
    <t xml:space="preserve">Prospects screened</t>
  </si>
  <si>
    <t xml:space="preserve">Qualified</t>
  </si>
  <si>
    <t xml:space="preserve">Qualification rate</t>
  </si>
  <si>
    <t xml:space="preserve">Christian-led</t>
  </si>
  <si>
    <t xml:space="preserve">Avg intent (out of 10)</t>
  </si>
  <si>
    <t xml:space="preserve">Outcomes</t>
  </si>
  <si>
    <t xml:space="preserve">Outcome</t>
  </si>
  <si>
    <t xml:space="preserve">Prospects</t>
  </si>
  <si>
    <t xml:space="preserve">Share</t>
  </si>
  <si>
    <t xml:space="preserve">Qualified: high intent</t>
  </si>
  <si>
    <t xml:space="preserve">Qualified: nurture</t>
  </si>
  <si>
    <t xml:space="preserve">Development pathway</t>
  </si>
  <si>
    <t xml:space="preserve">Not a fit</t>
  </si>
  <si>
    <t xml:space="preserve">Where prospects fall out</t>
  </si>
  <si>
    <t xml:space="preserve">Reason</t>
  </si>
  <si>
    <t xml:space="preserve">A. Not a real business</t>
  </si>
  <si>
    <t xml:space="preserve">B. Turnover not met</t>
  </si>
  <si>
    <t xml:space="preserve">C. No leadership team</t>
  </si>
  <si>
    <t xml:space="preserve">E1. Not Christian-led</t>
  </si>
  <si>
    <t xml:space="preserve">Cross-check concern</t>
  </si>
  <si>
    <t xml:space="preserve">A prospect can fall out for more than one reason, so shares can total more than 100%.</t>
  </si>
  <si>
    <t xml:space="preserve">Turnover bands</t>
  </si>
  <si>
    <t xml:space="preserve">Kingdom connection (E2)</t>
  </si>
  <si>
    <t xml:space="preserve">Band</t>
  </si>
  <si>
    <t xml:space="preserve">Answer</t>
  </si>
  <si>
    <t xml:space="preserve">Under £50k</t>
  </si>
  <si>
    <t xml:space="preserve">2: Already adds value, with example</t>
  </si>
  <si>
    <t xml:space="preserve">£50k to £250k</t>
  </si>
  <si>
    <t xml:space="preserve">1: Willing, no example yet</t>
  </si>
  <si>
    <t xml:space="preserve">£250k to £1m</t>
  </si>
  <si>
    <t xml:space="preserve">0: Not a priority</t>
  </si>
  <si>
    <t xml:space="preserve">£1m to £5m</t>
  </si>
  <si>
    <t xml:space="preserve">Shown for insight. Does not change the outcome.</t>
  </si>
  <si>
    <t xml:space="preserve">Over £5m</t>
  </si>
  <si>
    <t xml:space="preserve">Backend: prospect responses</t>
  </si>
  <si>
    <t xml:space="preserve">Enter one prospect per row from row 22. Yellow columns are inputs. Grey columns calculate themselves. Rows marked Sample are for illustration: delete them before real use.</t>
  </si>
  <si>
    <t xml:space="preserve">Total</t>
  </si>
  <si>
    <t xml:space="preserve">Prospect</t>
  </si>
  <si>
    <t xml:space="preserve">A. Real business</t>
  </si>
  <si>
    <t xml:space="preserve">B. Turnover</t>
  </si>
  <si>
    <t xml:space="preserve">C. Leadership</t>
  </si>
  <si>
    <t xml:space="preserve">D. Intent to grow (0 to 2)</t>
  </si>
  <si>
    <t xml:space="preserve">E. Kingdom</t>
  </si>
  <si>
    <t xml:space="preserve">Check</t>
  </si>
  <si>
    <t xml:space="preserve">Calculated</t>
  </si>
  <si>
    <t xml:space="preserve">Business name</t>
  </si>
  <si>
    <t xml:space="preserve">Contact</t>
  </si>
  <si>
    <t xml:space="preserve">Role</t>
  </si>
  <si>
    <t xml:space="preserve">Date of call</t>
  </si>
  <si>
    <t xml:space="preserve">Reviewer</t>
  </si>
  <si>
    <t xml:space="preserve">A1 Registered and owner named</t>
  </si>
  <si>
    <t xml:space="preserve">A2 Trading and customers</t>
  </si>
  <si>
    <t xml:space="preserve">A3 Recent paying customers</t>
  </si>
  <si>
    <t xml:space="preserve">A4 Public presence</t>
  </si>
  <si>
    <t xml:space="preserve">B1 Turnover band</t>
  </si>
  <si>
    <t xml:space="preserve">B2 Knows revenue split</t>
  </si>
  <si>
    <t xml:space="preserve">B3 Accounts and filings current</t>
  </si>
  <si>
    <t xml:space="preserve">C1 Other decision maker</t>
  </si>
  <si>
    <t xml:space="preserve">C2 Runs without founder</t>
  </si>
  <si>
    <t xml:space="preserve">C3 Sales, delivery, finance owned</t>
  </si>
  <si>
    <t xml:space="preserve">C4 Leadership rhythm</t>
  </si>
  <si>
    <t xml:space="preserve">D1 12-month target</t>
  </si>
  <si>
    <t xml:space="preserve">D2 Invested in growth</t>
  </si>
  <si>
    <t xml:space="preserve">D3 Knows constraint</t>
  </si>
  <si>
    <t xml:space="preserve">D4 Cost of standing still</t>
  </si>
  <si>
    <t xml:space="preserve">D5 Start date and decision maker</t>
  </si>
  <si>
    <t xml:space="preserve">E1 Christian-led</t>
  </si>
  <si>
    <t xml:space="preserve">E2 Adds value to Christian businesses</t>
  </si>
  <si>
    <t xml:space="preserve">Gate A</t>
  </si>
  <si>
    <t xml:space="preserve">Gate B</t>
  </si>
  <si>
    <t xml:space="preserve">Gate C</t>
  </si>
  <si>
    <t xml:space="preserve">Intent score /10</t>
  </si>
  <si>
    <t xml:space="preserve">Notes</t>
  </si>
  <si>
    <t xml:space="preserve">Sample: Grace Joinery Ltd</t>
  </si>
  <si>
    <t xml:space="preserve">Sample</t>
  </si>
  <si>
    <t xml:space="preserve">Yes</t>
  </si>
  <si>
    <t xml:space="preserve">No</t>
  </si>
  <si>
    <t xml:space="preserve">Sample: Beacon Care Services</t>
  </si>
  <si>
    <t xml:space="preserve">Sample: Shepherd Digital</t>
  </si>
  <si>
    <t xml:space="preserve">Sample: Harvest Foods</t>
  </si>
  <si>
    <t xml:space="preserve">Sample: Northgate Trading</t>
  </si>
  <si>
    <t xml:space="preserve">Question Bank</t>
  </si>
  <si>
    <t xml:space="preserve">#</t>
  </si>
  <si>
    <t xml:space="preserve">Ask</t>
  </si>
  <si>
    <t xml:space="preserve">Strong answer / 2 points</t>
  </si>
  <si>
    <t xml:space="preserve">Red flag / 0 points</t>
  </si>
  <si>
    <t xml:space="preserve">Record in Backend as</t>
  </si>
  <si>
    <t xml:space="preserve">A. Is it a real business? (gate)</t>
  </si>
  <si>
    <t xml:space="preserve">A1</t>
  </si>
  <si>
    <t xml:space="preserve">What is the registered name of the business, and who owns it?</t>
  </si>
  <si>
    <t xml:space="preserve">Legal name matches the register. Owner named clearly.</t>
  </si>
  <si>
    <t xml:space="preserve">Name does not match. Ownership vague.</t>
  </si>
  <si>
    <t xml:space="preserve">Yes if strong</t>
  </si>
  <si>
    <t xml:space="preserve">A2</t>
  </si>
  <si>
    <t xml:space="preserve">How long have you been trading, and how many paying customers in the last 12 months?</t>
  </si>
  <si>
    <t xml:space="preserve">Specific start date and number.</t>
  </si>
  <si>
    <t xml:space="preserve">No number offered.</t>
  </si>
  <si>
    <t xml:space="preserve">A3</t>
  </si>
  <si>
    <t xml:space="preserve">Tell me about your last three customers. What did they buy and how did they pay?</t>
  </si>
  <si>
    <t xml:space="preserve">Recent, specific, invoice or card.</t>
  </si>
  <si>
    <t xml:space="preserve">Only friends or family.</t>
  </si>
  <si>
    <t xml:space="preserve">A4</t>
  </si>
  <si>
    <t xml:space="preserve">Where can I see the business in public?</t>
  </si>
  <si>
    <t xml:space="preserve">Website, reviews, address, trading history.</t>
  </si>
  <si>
    <t xml:space="preserve">A recent social profile only.</t>
  </si>
  <si>
    <t xml:space="preserve">B. Does it have turnover? (gate)</t>
  </si>
  <si>
    <t xml:space="preserve">B1</t>
  </si>
  <si>
    <t xml:space="preserve">Which band was your turnover in the last full 12 months?</t>
  </si>
  <si>
    <t xml:space="preserve">Answers without hesitation.</t>
  </si>
  <si>
    <t xml:space="preserve">Declines, or conflicts with public records.</t>
  </si>
  <si>
    <t xml:space="preserve">Select band</t>
  </si>
  <si>
    <t xml:space="preserve">B2</t>
  </si>
  <si>
    <t xml:space="preserve">Roughly what share comes from repeat customers?</t>
  </si>
  <si>
    <t xml:space="preserve">Knows the split.</t>
  </si>
  <si>
    <t xml:space="preserve">No idea.</t>
  </si>
  <si>
    <t xml:space="preserve">B3</t>
  </si>
  <si>
    <t xml:space="preserve">Who prepares your accounts, and are filings up to date?</t>
  </si>
  <si>
    <t xml:space="preserve">Named accountant. Filings current.</t>
  </si>
  <si>
    <t xml:space="preserve">Overdue filings.</t>
  </si>
  <si>
    <t xml:space="preserve">C. Leadership beyond the founder? (gate)</t>
  </si>
  <si>
    <t xml:space="preserve">C1</t>
  </si>
  <si>
    <t xml:space="preserve">Apart from you, who makes decisions in the business?</t>
  </si>
  <si>
    <t xml:space="preserve">Names another person with real authority.</t>
  </si>
  <si>
    <t xml:space="preserve">“It is all me.”</t>
  </si>
  <si>
    <t xml:space="preserve">C2</t>
  </si>
  <si>
    <t xml:space="preserve">If you were away for two weeks, who would run it?</t>
  </si>
  <si>
    <t xml:space="preserve">Named person and routines.</t>
  </si>
  <si>
    <t xml:space="preserve">The business would stop.</t>
  </si>
  <si>
    <t xml:space="preserve">C3</t>
  </si>
  <si>
    <t xml:space="preserve">Who owns sales, delivery and finance?</t>
  </si>
  <si>
    <t xml:space="preserve">Named owner for each.</t>
  </si>
  <si>
    <t xml:space="preserve">Founder owns all three.</t>
  </si>
  <si>
    <t xml:space="preserve">C4</t>
  </si>
  <si>
    <t xml:space="preserve">How often does leadership meet, and what did you decide last time?</t>
  </si>
  <si>
    <t xml:space="preserve">Regular rhythm. Recalls a decision.</t>
  </si>
  <si>
    <t xml:space="preserve">No rhythm.</t>
  </si>
  <si>
    <t xml:space="preserve">D. Intent to grow (scored)</t>
  </si>
  <si>
    <t xml:space="preserve">D1</t>
  </si>
  <si>
    <t xml:space="preserve">Where do you want the business in 12 months, in numbers?</t>
  </si>
  <si>
    <t xml:space="preserve">Specific target.</t>
  </si>
  <si>
    <t xml:space="preserve">“Just to grow.”</t>
  </si>
  <si>
    <t xml:space="preserve">0, 1 or 2</t>
  </si>
  <si>
    <t xml:space="preserve">D2</t>
  </si>
  <si>
    <t xml:space="preserve">What have you invested in growth in the last six months?</t>
  </si>
  <si>
    <t xml:space="preserve">Named spend, hire or system.</t>
  </si>
  <si>
    <t xml:space="preserve">Nothing.</t>
  </si>
  <si>
    <t xml:space="preserve">D3</t>
  </si>
  <si>
    <t xml:space="preserve">What is stopping you getting there today?</t>
  </si>
  <si>
    <t xml:space="preserve">Specific, owned constraint.</t>
  </si>
  <si>
    <t xml:space="preserve">Blames the market.</t>
  </si>
  <si>
    <t xml:space="preserve">D4</t>
  </si>
  <si>
    <t xml:space="preserve">What happens if nothing changes in 12 months?</t>
  </si>
  <si>
    <t xml:space="preserve">Clear cost.</t>
  </si>
  <si>
    <t xml:space="preserve">“We would be fine.”</t>
  </si>
  <si>
    <t xml:space="preserve">D5</t>
  </si>
  <si>
    <t xml:space="preserve">If we found the right support, when would you start, and who else must agree?</t>
  </si>
  <si>
    <t xml:space="preserve">Within 30 days. Decision maker named.</t>
  </si>
  <si>
    <t xml:space="preserve">No timeframe.</t>
  </si>
  <si>
    <t xml:space="preserve">E. Kingdom alignment</t>
  </si>
  <si>
    <t xml:space="preserve">E1</t>
  </si>
  <si>
    <t xml:space="preserve">Are you a Christian-led business? Who holds that leadership, and what is their role?</t>
  </si>
  <si>
    <t xml:space="preserve">A named Christian owner or leader with real authority over direction.</t>
  </si>
  <si>
    <t xml:space="preserve">Unclear who leads, or faith has no bearing on leadership.</t>
  </si>
  <si>
    <t xml:space="preserve">Yes or No (gate)</t>
  </si>
  <si>
    <t xml:space="preserve">E2</t>
  </si>
  <si>
    <t xml:space="preserve">Are you mindful to meet and add value to other Christian businesses? Give a recent example.</t>
  </si>
  <si>
    <t xml:space="preserve">2: A recent, concrete example.  1: Willing, no example yet.</t>
  </si>
  <si>
    <t xml:space="preserve">0: Not a priority.</t>
  </si>
  <si>
    <t xml:space="preserve">Cross-checks: customers (A2) against turnover (B1); leaders named (C1, C3) against the public register; growth target (D1) against investment (D2). Record Yes in the Backend if any concern is unresolved.</t>
  </si>
  <si>
    <t xml:space="preserve">Settings</t>
  </si>
  <si>
    <t xml:space="preserve">Yellow cells are yours to change. Everything else updates automatically.</t>
  </si>
  <si>
    <t xml:space="preserve">Minimum turnover band</t>
  </si>
  <si>
    <t xml:space="preserve">Set by City on a Hill. Left at the lowest band so no business is excluded until you choose a minimum.</t>
  </si>
  <si>
    <t xml:space="preserve">High intent score (out of 10)</t>
  </si>
  <si>
    <t xml:space="preserve">From the Growth Partner Qualification guide.</t>
  </si>
  <si>
    <t xml:space="preserve">Nurture score (out of 10)</t>
  </si>
  <si>
    <t xml:space="preserve">Turnover bands (lowest to highest)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</si>
</sst>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%"/>
    <numFmt numFmtId="167" formatCode="0.0"/>
    <numFmt numFmtId="168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B8912F"/>
      <name val="Arial"/>
      <family val="0"/>
      <charset val="1"/>
    </font>
    <font>
      <b val="true"/>
      <sz val="9"/>
      <color rgb="FFB8912F"/>
      <name val="Arial"/>
      <family val="0"/>
      <charset val="1"/>
    </font>
    <font>
      <b val="true"/>
      <sz val="22"/>
      <color rgb="FF1F2A44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2A4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2A44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name val="Arial"/>
      <family val="2"/>
    </font>
    <font>
      <b val="true"/>
      <sz val="11"/>
      <color rgb="FF1F2A4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B8912F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3F1EA"/>
        <bgColor rgb="FFEEEEEE"/>
      </patternFill>
    </fill>
    <fill>
      <patternFill patternType="solid">
        <fgColor rgb="FFB8912F"/>
        <bgColor rgb="FF878787"/>
      </patternFill>
    </fill>
    <fill>
      <patternFill patternType="solid">
        <fgColor rgb="FF5A6275"/>
        <bgColor rgb="FF7F7F7F"/>
      </patternFill>
    </fill>
    <fill>
      <patternFill patternType="solid">
        <fgColor rgb="FFFFFBE6"/>
        <bgColor rgb="FFFFFFFF"/>
      </patternFill>
    </fill>
    <fill>
      <patternFill patternType="solid">
        <fgColor rgb="FFEEEEEE"/>
        <bgColor rgb="FFF3F1EA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B8912F"/>
      </bottom>
      <diagonal/>
    </border>
    <border diagonalUp="false" diagonalDown="false">
      <left style="thin">
        <color rgb="FFD9D4C3"/>
      </left>
      <right style="thin">
        <color rgb="FFD9D4C3"/>
      </right>
      <top style="thin">
        <color rgb="FFD9D4C3"/>
      </top>
      <bottom style="thin">
        <color rgb="FFD9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912F"/>
      <rgbColor rgb="FF800080"/>
      <rgbColor rgb="FF008080"/>
      <rgbColor rgb="FFD9D4C3"/>
      <rgbColor rgb="FF7F7F7F"/>
      <rgbColor rgb="FF878787"/>
      <rgbColor rgb="FF993366"/>
      <rgbColor rgb="FFFFFBE6"/>
      <rgbColor rgb="FFEEEE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1EA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A6275"/>
      <rgbColor rgb="FF8C93A8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prospects fall out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f2a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Dashboard!$B$17:$B$21</c:f>
              <c:strCache>
                <c:ptCount val="5"/>
                <c:pt idx="0">
                  <c:v>A. Not a real business</c:v>
                </c:pt>
                <c:pt idx="1">
                  <c:v>B. Turnover not met</c:v>
                </c:pt>
                <c:pt idx="2">
                  <c:v>C. No leadership team</c:v>
                </c:pt>
                <c:pt idx="3">
                  <c:v>E1. Not Christian-led</c:v>
                </c:pt>
                <c:pt idx="4">
                  <c:v>Cross-check concern</c:v>
                </c:pt>
              </c:strCache>
            </c:strRef>
          </c:cat>
          <c:val>
            <c:numRef>
              <c:f>Dashboard!$D$17:$D$21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99383790"/>
        <c:axId val="45831045"/>
      </c:barChart>
      <c:catAx>
        <c:axId val="993837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31045"/>
        <c:crosses val="autoZero"/>
        <c:auto val="1"/>
        <c:lblAlgn val="ctr"/>
        <c:lblOffset val="100"/>
        <c:noMultiLvlLbl val="0"/>
      </c:catAx>
      <c:valAx>
        <c:axId val="4583104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837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Prospect outcomes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Backend!B4</c:f>
              <c:strCache>
                <c:ptCount val="1"/>
                <c:pt idx="0">
                  <c:v>Prospects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2a4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b8912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c93a8"/>
              </a:solidFill>
              <a:ln w="0">
                <a:noFill/>
              </a:ln>
            </c:spPr>
          </c:dPt>
          <c:dPt>
            <c:idx val="3"/>
            <c:spPr>
              <a:solidFill>
                <a:srgbClr val="d9d4c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Backend!$A$5:$A$8</c:f>
              <c:strCache>
                <c:ptCount val="4"/>
                <c:pt idx="0">
                  <c:v>Qualified: high intent</c:v>
                </c:pt>
                <c:pt idx="1">
                  <c:v>Qualified: nurture</c:v>
                </c:pt>
                <c:pt idx="2">
                  <c:v>Development pathway</c:v>
                </c:pt>
                <c:pt idx="3">
                  <c:v>Not a fit</c:v>
                </c:pt>
              </c:strCache>
            </c:strRef>
          </c:cat>
          <c:val>
            <c:numRef>
              <c:f>Backend!$B$5:$B$8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7</xdr:row>
      <xdr:rowOff>0</xdr:rowOff>
    </xdr:from>
    <xdr:to>
      <xdr:col>10</xdr:col>
      <xdr:colOff>474480</xdr:colOff>
      <xdr:row>21</xdr:row>
      <xdr:rowOff>32760</xdr:rowOff>
    </xdr:to>
    <xdr:graphicFrame>
      <xdr:nvGraphicFramePr>
        <xdr:cNvPr id="0" name="Chart 1"/>
        <xdr:cNvGraphicFramePr/>
      </xdr:nvGraphicFramePr>
      <xdr:xfrm>
        <a:off x="4793040" y="2038320"/>
        <a:ext cx="41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130680</xdr:rowOff>
    </xdr:from>
    <xdr:to>
      <xdr:col>8</xdr:col>
      <xdr:colOff>662040</xdr:colOff>
      <xdr:row>17</xdr:row>
      <xdr:rowOff>142200</xdr:rowOff>
    </xdr:to>
    <xdr:graphicFrame>
      <xdr:nvGraphicFramePr>
        <xdr:cNvPr id="1" name="Chart 1"/>
        <xdr:cNvGraphicFramePr/>
      </xdr:nvGraphicFramePr>
      <xdr:xfrm>
        <a:off x="3806280" y="38088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2" min="2" style="0" width="13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5" hidden="false" customHeight="tru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</row>
    <row r="6" customFormat="false" ht="45.75" hidden="false" customHeight="true" outlineLevel="0" collapsed="false">
      <c r="B6" s="4" t="n">
        <f aca="false">COUNTA(Backend!$A$22:$A$221)</f>
        <v>5</v>
      </c>
      <c r="C6" s="4"/>
      <c r="D6" s="4" t="n">
        <f aca="false">COUNTIF(Backend!$AC$22:$AC$221,"Qualified*")</f>
        <v>3</v>
      </c>
      <c r="E6" s="4"/>
      <c r="F6" s="5" t="n">
        <f aca="false">IFERROR(COUNTIF(Backend!$AC$22:$AC$221,"Qualified*")/COUNTA(Backend!$A$22:$A$221),0)</f>
        <v>0.6</v>
      </c>
      <c r="G6" s="5"/>
      <c r="H6" s="5" t="n">
        <f aca="false">IFERROR(COUNTIF(Backend!$V$22:$V$221,"Yes")/COUNTA(Backend!$A$22:$A$221),0)</f>
        <v>0.8</v>
      </c>
      <c r="I6" s="5"/>
      <c r="J6" s="6" t="n">
        <f aca="false">IFERROR(AVERAGE(Backend!$AB$22:$AB$221),0)</f>
        <v>7</v>
      </c>
      <c r="K6" s="6"/>
    </row>
    <row r="8" customFormat="false" ht="15" hidden="false" customHeight="false" outlineLevel="0" collapsed="false">
      <c r="B8" s="7" t="s">
        <v>7</v>
      </c>
      <c r="C8" s="7"/>
      <c r="D8" s="7"/>
      <c r="E8" s="7"/>
    </row>
    <row r="9" customFormat="false" ht="15" hidden="false" customHeight="true" outlineLevel="0" collapsed="false">
      <c r="B9" s="8" t="s">
        <v>8</v>
      </c>
      <c r="C9" s="8"/>
      <c r="D9" s="9" t="s">
        <v>9</v>
      </c>
      <c r="E9" s="9" t="s">
        <v>10</v>
      </c>
    </row>
    <row r="10" customFormat="false" ht="15" hidden="false" customHeight="false" outlineLevel="0" collapsed="false">
      <c r="B10" s="10" t="s">
        <v>11</v>
      </c>
      <c r="C10" s="10"/>
      <c r="D10" s="11" t="n">
        <f aca="false">COUNTIF(Backend!$AC$22:$AC$221,B10)</f>
        <v>2</v>
      </c>
      <c r="E10" s="12" t="n">
        <f aca="false">IFERROR(D10/SUM($D$10:$D$13),0)</f>
        <v>0.4</v>
      </c>
    </row>
    <row r="11" customFormat="false" ht="15" hidden="false" customHeight="false" outlineLevel="0" collapsed="false">
      <c r="B11" s="10" t="s">
        <v>12</v>
      </c>
      <c r="C11" s="10"/>
      <c r="D11" s="11" t="n">
        <f aca="false">COUNTIF(Backend!$AC$22:$AC$221,B11)</f>
        <v>1</v>
      </c>
      <c r="E11" s="12" t="n">
        <f aca="false">IFERROR(D11/SUM($D$10:$D$13),0)</f>
        <v>0.2</v>
      </c>
    </row>
    <row r="12" customFormat="false" ht="15" hidden="false" customHeight="false" outlineLevel="0" collapsed="false">
      <c r="B12" s="10" t="s">
        <v>13</v>
      </c>
      <c r="C12" s="10"/>
      <c r="D12" s="11" t="n">
        <f aca="false">COUNTIF(Backend!$AC$22:$AC$221,B12)</f>
        <v>1</v>
      </c>
      <c r="E12" s="12" t="n">
        <f aca="false">IFERROR(D12/SUM($D$10:$D$13),0)</f>
        <v>0.2</v>
      </c>
    </row>
    <row r="13" customFormat="false" ht="15" hidden="false" customHeight="false" outlineLevel="0" collapsed="false">
      <c r="B13" s="10" t="s">
        <v>14</v>
      </c>
      <c r="C13" s="10"/>
      <c r="D13" s="11" t="n">
        <f aca="false">COUNTIF(Backend!$AC$22:$AC$221,B13)</f>
        <v>1</v>
      </c>
      <c r="E13" s="12" t="n">
        <f aca="false">IFERROR(D13/SUM($D$10:$D$13),0)</f>
        <v>0.2</v>
      </c>
    </row>
    <row r="15" customFormat="false" ht="15" hidden="false" customHeight="false" outlineLevel="0" collapsed="false">
      <c r="B15" s="7" t="s">
        <v>15</v>
      </c>
      <c r="C15" s="7"/>
      <c r="D15" s="7"/>
      <c r="E15" s="7"/>
    </row>
    <row r="16" customFormat="false" ht="15" hidden="false" customHeight="true" outlineLevel="0" collapsed="false">
      <c r="B16" s="8" t="s">
        <v>16</v>
      </c>
      <c r="C16" s="8"/>
      <c r="D16" s="9" t="s">
        <v>9</v>
      </c>
      <c r="E16" s="9" t="s">
        <v>10</v>
      </c>
    </row>
    <row r="17" customFormat="false" ht="15" hidden="false" customHeight="false" outlineLevel="0" collapsed="false">
      <c r="B17" s="10" t="s">
        <v>17</v>
      </c>
      <c r="C17" s="10"/>
      <c r="D17" s="11" t="n">
        <f aca="false">COUNTIF(Backend!$Y$22:$Y$221,"Fail")</f>
        <v>1</v>
      </c>
      <c r="E17" s="12" t="n">
        <f aca="false">IFERROR(D17/COUNTA(Backend!$A$22:$A$221),0)</f>
        <v>0.2</v>
      </c>
    </row>
    <row r="18" customFormat="false" ht="15" hidden="false" customHeight="false" outlineLevel="0" collapsed="false">
      <c r="B18" s="10" t="s">
        <v>18</v>
      </c>
      <c r="C18" s="10"/>
      <c r="D18" s="11" t="n">
        <f aca="false">COUNTIF(Backend!$Z$22:$Z$221,"Fail")</f>
        <v>1</v>
      </c>
      <c r="E18" s="12" t="n">
        <f aca="false">IFERROR(D18/COUNTA(Backend!$A$22:$A$221),0)</f>
        <v>0.2</v>
      </c>
    </row>
    <row r="19" customFormat="false" ht="15" hidden="false" customHeight="false" outlineLevel="0" collapsed="false">
      <c r="B19" s="10" t="s">
        <v>19</v>
      </c>
      <c r="C19" s="10"/>
      <c r="D19" s="11" t="n">
        <f aca="false">COUNTIF(Backend!$AA$22:$AA$221,"Fail")</f>
        <v>2</v>
      </c>
      <c r="E19" s="12" t="n">
        <f aca="false">IFERROR(D19/COUNTA(Backend!$A$22:$A$221),0)</f>
        <v>0.4</v>
      </c>
    </row>
    <row r="20" customFormat="false" ht="15" hidden="false" customHeight="false" outlineLevel="0" collapsed="false">
      <c r="B20" s="10" t="s">
        <v>20</v>
      </c>
      <c r="C20" s="10"/>
      <c r="D20" s="11" t="n">
        <f aca="false">COUNTIF(Backend!$V$22:$V$221,"No")</f>
        <v>1</v>
      </c>
      <c r="E20" s="12" t="n">
        <f aca="false">IFERROR(D20/COUNTA(Backend!$A$22:$A$221),0)</f>
        <v>0.2</v>
      </c>
    </row>
    <row r="21" customFormat="false" ht="15" hidden="false" customHeight="false" outlineLevel="0" collapsed="false">
      <c r="B21" s="10" t="s">
        <v>21</v>
      </c>
      <c r="C21" s="10"/>
      <c r="D21" s="11" t="n">
        <f aca="false">COUNTIF(Backend!$X$22:$X$221,"Yes")</f>
        <v>1</v>
      </c>
      <c r="E21" s="12" t="n">
        <f aca="false">IFERROR(D21/COUNTA(Backend!$A$22:$A$221),0)</f>
        <v>0.2</v>
      </c>
    </row>
    <row r="22" customFormat="false" ht="15" hidden="false" customHeight="false" outlineLevel="0" collapsed="false">
      <c r="B22" s="13" t="s">
        <v>22</v>
      </c>
    </row>
    <row r="24" customFormat="false" ht="15" hidden="false" customHeight="false" outlineLevel="0" collapsed="false">
      <c r="B24" s="7" t="s">
        <v>23</v>
      </c>
      <c r="C24" s="7"/>
      <c r="D24" s="7"/>
      <c r="E24" s="7"/>
      <c r="G24" s="7" t="s">
        <v>24</v>
      </c>
      <c r="H24" s="7"/>
      <c r="I24" s="7"/>
      <c r="J24" s="7"/>
      <c r="K24" s="7"/>
    </row>
    <row r="25" customFormat="false" ht="15" hidden="false" customHeight="true" outlineLevel="0" collapsed="false">
      <c r="B25" s="8" t="s">
        <v>25</v>
      </c>
      <c r="C25" s="8"/>
      <c r="D25" s="9" t="s">
        <v>9</v>
      </c>
      <c r="E25" s="9" t="s">
        <v>10</v>
      </c>
      <c r="G25" s="14" t="s">
        <v>26</v>
      </c>
      <c r="H25" s="14"/>
      <c r="I25" s="14"/>
      <c r="J25" s="15" t="s">
        <v>9</v>
      </c>
      <c r="K25" s="15" t="s">
        <v>10</v>
      </c>
    </row>
    <row r="26" customFormat="false" ht="15" hidden="false" customHeight="false" outlineLevel="0" collapsed="false">
      <c r="B26" s="10" t="s">
        <v>27</v>
      </c>
      <c r="C26" s="10"/>
      <c r="D26" s="11" t="n">
        <f aca="false">COUNTIF(Backend!$J$22:$J$221,B26)</f>
        <v>1</v>
      </c>
      <c r="E26" s="12" t="n">
        <f aca="false">IFERROR(D26/COUNTA(Backend!$A$22:$A$221),0)</f>
        <v>0.2</v>
      </c>
      <c r="G26" s="10" t="s">
        <v>28</v>
      </c>
      <c r="H26" s="10"/>
      <c r="I26" s="10"/>
      <c r="J26" s="11" t="n">
        <f aca="false">COUNTIF(Backend!$W$22:$W$221,2)</f>
        <v>2</v>
      </c>
      <c r="K26" s="12" t="n">
        <f aca="false">IFERROR(J26/SUM($J$26:$J$28),0)</f>
        <v>0.4</v>
      </c>
    </row>
    <row r="27" customFormat="false" ht="15" hidden="false" customHeight="false" outlineLevel="0" collapsed="false">
      <c r="B27" s="10" t="s">
        <v>29</v>
      </c>
      <c r="C27" s="10"/>
      <c r="D27" s="11" t="n">
        <f aca="false">COUNTIF(Backend!$J$22:$J$221,B27)</f>
        <v>1</v>
      </c>
      <c r="E27" s="12" t="n">
        <f aca="false">IFERROR(D27/COUNTA(Backend!$A$22:$A$221),0)</f>
        <v>0.2</v>
      </c>
      <c r="G27" s="10" t="s">
        <v>30</v>
      </c>
      <c r="H27" s="10"/>
      <c r="I27" s="10"/>
      <c r="J27" s="11" t="n">
        <f aca="false">COUNTIF(Backend!$W$22:$W$221,1)</f>
        <v>2</v>
      </c>
      <c r="K27" s="12" t="n">
        <f aca="false">IFERROR(J27/SUM($J$26:$J$28),0)</f>
        <v>0.4</v>
      </c>
    </row>
    <row r="28" customFormat="false" ht="15" hidden="false" customHeight="false" outlineLevel="0" collapsed="false">
      <c r="B28" s="10" t="s">
        <v>31</v>
      </c>
      <c r="C28" s="10"/>
      <c r="D28" s="11" t="n">
        <f aca="false">COUNTIF(Backend!$J$22:$J$221,B28)</f>
        <v>2</v>
      </c>
      <c r="E28" s="12" t="n">
        <f aca="false">IFERROR(D28/COUNTA(Backend!$A$22:$A$221),0)</f>
        <v>0.4</v>
      </c>
      <c r="G28" s="10" t="s">
        <v>32</v>
      </c>
      <c r="H28" s="10"/>
      <c r="I28" s="10"/>
      <c r="J28" s="11" t="n">
        <f aca="false">COUNTIF(Backend!$W$22:$W$221,0)</f>
        <v>1</v>
      </c>
      <c r="K28" s="12" t="n">
        <f aca="false">IFERROR(J28/SUM($J$26:$J$28),0)</f>
        <v>0.2</v>
      </c>
    </row>
    <row r="29" customFormat="false" ht="15" hidden="false" customHeight="false" outlineLevel="0" collapsed="false">
      <c r="B29" s="10" t="s">
        <v>33</v>
      </c>
      <c r="C29" s="10"/>
      <c r="D29" s="11" t="n">
        <f aca="false">COUNTIF(Backend!$J$22:$J$221,B29)</f>
        <v>1</v>
      </c>
      <c r="E29" s="12" t="n">
        <f aca="false">IFERROR(D29/COUNTA(Backend!$A$22:$A$221),0)</f>
        <v>0.2</v>
      </c>
      <c r="G29" s="13" t="s">
        <v>34</v>
      </c>
    </row>
    <row r="30" customFormat="false" ht="15" hidden="false" customHeight="false" outlineLevel="0" collapsed="false">
      <c r="B30" s="10" t="s">
        <v>35</v>
      </c>
      <c r="C30" s="10"/>
      <c r="D30" s="11" t="n">
        <f aca="false">COUNTIF(Backend!$J$22:$J$221,B30)</f>
        <v>0</v>
      </c>
      <c r="E30" s="12" t="n">
        <f aca="false">IFERROR(D30/COUNTA(Backend!$A$22:$A$221),0)</f>
        <v>0</v>
      </c>
    </row>
  </sheetData>
  <mergeCells count="37">
    <mergeCell ref="B2:K2"/>
    <mergeCell ref="B3:K3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8:E8"/>
    <mergeCell ref="B9:C9"/>
    <mergeCell ref="B10:C10"/>
    <mergeCell ref="B11:C11"/>
    <mergeCell ref="B12:C12"/>
    <mergeCell ref="B13:C13"/>
    <mergeCell ref="B15:E15"/>
    <mergeCell ref="B16:C16"/>
    <mergeCell ref="B17:C17"/>
    <mergeCell ref="B18:C18"/>
    <mergeCell ref="B19:C19"/>
    <mergeCell ref="B20:C20"/>
    <mergeCell ref="B21:C21"/>
    <mergeCell ref="B24:E24"/>
    <mergeCell ref="G24:K24"/>
    <mergeCell ref="B25:C25"/>
    <mergeCell ref="G25:I25"/>
    <mergeCell ref="B26:C26"/>
    <mergeCell ref="G26:I26"/>
    <mergeCell ref="B27:C27"/>
    <mergeCell ref="G27:I27"/>
    <mergeCell ref="B28:C28"/>
    <mergeCell ref="G28:I28"/>
    <mergeCell ref="B29:C29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9" min="6" style="0" width="11"/>
    <col collapsed="false" customWidth="true" hidden="false" outlineLevel="0" max="10" min="10" style="0" width="15"/>
    <col collapsed="false" customWidth="true" hidden="false" outlineLevel="0" max="16" min="11" style="0" width="11"/>
    <col collapsed="false" customWidth="true" hidden="false" outlineLevel="0" max="21" min="17" style="0" width="10"/>
    <col collapsed="false" customWidth="true" hidden="false" outlineLevel="0" max="22" min="22" style="0" width="11"/>
    <col collapsed="false" customWidth="true" hidden="false" outlineLevel="0" max="23" min="23" style="0" width="13"/>
    <col collapsed="false" customWidth="true" hidden="false" outlineLevel="0" max="24" min="24" style="0" width="11"/>
    <col collapsed="false" customWidth="true" hidden="false" outlineLevel="0" max="27" min="25" style="0" width="9"/>
    <col collapsed="false" customWidth="true" hidden="false" outlineLevel="0" max="28" min="28" style="0" width="10"/>
    <col collapsed="false" customWidth="true" hidden="false" outlineLevel="0" max="29" min="29" style="0" width="21"/>
    <col collapsed="false" customWidth="true" hidden="false" outlineLevel="0" max="30" min="30" style="0" width="30"/>
  </cols>
  <sheetData>
    <row r="1" customFormat="false" ht="19.7" hidden="false" customHeight="false" outlineLevel="0" collapsed="false">
      <c r="A1" s="16" t="s">
        <v>36</v>
      </c>
    </row>
    <row r="2" customFormat="false" ht="15" hidden="false" customHeight="false" outlineLevel="0" collapsed="false">
      <c r="A2" s="17" t="s">
        <v>37</v>
      </c>
    </row>
    <row r="4" customFormat="false" ht="15" hidden="false" customHeight="false" outlineLevel="0" collapsed="false">
      <c r="A4" s="18" t="s">
        <v>8</v>
      </c>
      <c r="B4" s="18" t="s">
        <v>9</v>
      </c>
    </row>
    <row r="5" customFormat="false" ht="15" hidden="false" customHeight="false" outlineLevel="0" collapsed="false">
      <c r="A5" s="19" t="s">
        <v>11</v>
      </c>
      <c r="B5" s="20" t="n">
        <f aca="false">COUNTIF($AC$22:$AC$221,A5)</f>
        <v>2</v>
      </c>
    </row>
    <row r="6" customFormat="false" ht="15" hidden="false" customHeight="false" outlineLevel="0" collapsed="false">
      <c r="A6" s="19" t="s">
        <v>12</v>
      </c>
      <c r="B6" s="20" t="n">
        <f aca="false">COUNTIF($AC$22:$AC$221,A6)</f>
        <v>1</v>
      </c>
    </row>
    <row r="7" customFormat="false" ht="15" hidden="false" customHeight="false" outlineLevel="0" collapsed="false">
      <c r="A7" s="19" t="s">
        <v>13</v>
      </c>
      <c r="B7" s="20" t="n">
        <f aca="false">COUNTIF($AC$22:$AC$221,A7)</f>
        <v>1</v>
      </c>
    </row>
    <row r="8" customFormat="false" ht="15" hidden="false" customHeight="false" outlineLevel="0" collapsed="false">
      <c r="A8" s="19" t="s">
        <v>14</v>
      </c>
      <c r="B8" s="20" t="n">
        <f aca="false">COUNTIF($AC$22:$AC$221,A8)</f>
        <v>1</v>
      </c>
    </row>
    <row r="9" customFormat="false" ht="15" hidden="false" customHeight="false" outlineLevel="0" collapsed="false">
      <c r="A9" s="21" t="s">
        <v>38</v>
      </c>
      <c r="B9" s="22" t="n">
        <f aca="false">SUM(B5:B8)</f>
        <v>5</v>
      </c>
    </row>
    <row r="20" customFormat="false" ht="15" hidden="false" customHeight="true" outlineLevel="0" collapsed="false">
      <c r="A20" s="23" t="s">
        <v>39</v>
      </c>
      <c r="B20" s="23"/>
      <c r="C20" s="23"/>
      <c r="D20" s="23"/>
      <c r="E20" s="23"/>
      <c r="F20" s="23" t="s">
        <v>40</v>
      </c>
      <c r="G20" s="23"/>
      <c r="H20" s="23"/>
      <c r="I20" s="23"/>
      <c r="J20" s="23" t="s">
        <v>41</v>
      </c>
      <c r="K20" s="23"/>
      <c r="L20" s="23"/>
      <c r="M20" s="23" t="s">
        <v>42</v>
      </c>
      <c r="N20" s="23"/>
      <c r="O20" s="23"/>
      <c r="P20" s="23"/>
      <c r="Q20" s="23" t="s">
        <v>43</v>
      </c>
      <c r="R20" s="23"/>
      <c r="S20" s="23"/>
      <c r="T20" s="23"/>
      <c r="U20" s="23"/>
      <c r="V20" s="24" t="s">
        <v>44</v>
      </c>
      <c r="W20" s="24"/>
      <c r="X20" s="25" t="s">
        <v>45</v>
      </c>
      <c r="Y20" s="26" t="s">
        <v>46</v>
      </c>
      <c r="Z20" s="26"/>
      <c r="AA20" s="26"/>
      <c r="AB20" s="26"/>
      <c r="AC20" s="26"/>
      <c r="AD20" s="25"/>
    </row>
    <row r="21" customFormat="false" ht="48" hidden="false" customHeight="true" outlineLevel="0" collapsed="false">
      <c r="A21" s="27" t="s">
        <v>47</v>
      </c>
      <c r="B21" s="27" t="s">
        <v>48</v>
      </c>
      <c r="C21" s="27" t="s">
        <v>49</v>
      </c>
      <c r="D21" s="27" t="s">
        <v>50</v>
      </c>
      <c r="E21" s="27" t="s">
        <v>51</v>
      </c>
      <c r="F21" s="27" t="s">
        <v>52</v>
      </c>
      <c r="G21" s="27" t="s">
        <v>53</v>
      </c>
      <c r="H21" s="27" t="s">
        <v>54</v>
      </c>
      <c r="I21" s="27" t="s">
        <v>55</v>
      </c>
      <c r="J21" s="27" t="s">
        <v>56</v>
      </c>
      <c r="K21" s="27" t="s">
        <v>57</v>
      </c>
      <c r="L21" s="27" t="s">
        <v>58</v>
      </c>
      <c r="M21" s="27" t="s">
        <v>59</v>
      </c>
      <c r="N21" s="27" t="s">
        <v>60</v>
      </c>
      <c r="O21" s="27" t="s">
        <v>61</v>
      </c>
      <c r="P21" s="27" t="s">
        <v>62</v>
      </c>
      <c r="Q21" s="27" t="s">
        <v>63</v>
      </c>
      <c r="R21" s="27" t="s">
        <v>64</v>
      </c>
      <c r="S21" s="27" t="s">
        <v>65</v>
      </c>
      <c r="T21" s="27" t="s">
        <v>66</v>
      </c>
      <c r="U21" s="27" t="s">
        <v>67</v>
      </c>
      <c r="V21" s="27" t="s">
        <v>68</v>
      </c>
      <c r="W21" s="27" t="s">
        <v>69</v>
      </c>
      <c r="X21" s="27" t="s">
        <v>21</v>
      </c>
      <c r="Y21" s="27" t="s">
        <v>70</v>
      </c>
      <c r="Z21" s="27" t="s">
        <v>71</v>
      </c>
      <c r="AA21" s="27" t="s">
        <v>72</v>
      </c>
      <c r="AB21" s="27" t="s">
        <v>73</v>
      </c>
      <c r="AC21" s="27" t="s">
        <v>8</v>
      </c>
      <c r="AD21" s="27" t="s">
        <v>74</v>
      </c>
    </row>
    <row r="22" customFormat="false" ht="15" hidden="false" customHeight="false" outlineLevel="0" collapsed="false">
      <c r="A22" s="28" t="s">
        <v>75</v>
      </c>
      <c r="B22" s="29"/>
      <c r="C22" s="29"/>
      <c r="D22" s="30"/>
      <c r="E22" s="30" t="s">
        <v>76</v>
      </c>
      <c r="F22" s="30" t="s">
        <v>77</v>
      </c>
      <c r="G22" s="30" t="s">
        <v>77</v>
      </c>
      <c r="H22" s="30" t="s">
        <v>77</v>
      </c>
      <c r="I22" s="30" t="s">
        <v>77</v>
      </c>
      <c r="J22" s="30" t="s">
        <v>31</v>
      </c>
      <c r="K22" s="30" t="s">
        <v>77</v>
      </c>
      <c r="L22" s="30" t="s">
        <v>77</v>
      </c>
      <c r="M22" s="30" t="s">
        <v>77</v>
      </c>
      <c r="N22" s="30" t="s">
        <v>77</v>
      </c>
      <c r="O22" s="30" t="s">
        <v>77</v>
      </c>
      <c r="P22" s="30" t="s">
        <v>77</v>
      </c>
      <c r="Q22" s="30" t="n">
        <v>2</v>
      </c>
      <c r="R22" s="30" t="n">
        <v>2</v>
      </c>
      <c r="S22" s="30" t="n">
        <v>2</v>
      </c>
      <c r="T22" s="30" t="n">
        <v>1</v>
      </c>
      <c r="U22" s="30" t="n">
        <v>2</v>
      </c>
      <c r="V22" s="30" t="s">
        <v>77</v>
      </c>
      <c r="W22" s="30" t="n">
        <v>2</v>
      </c>
      <c r="X22" s="30" t="s">
        <v>78</v>
      </c>
      <c r="Y22" s="31" t="str">
        <f aca="false">IF($A22="","",IF(COUNTIF(F22:I22,"Yes")=4,"Pass","Fail"))</f>
        <v>Pass</v>
      </c>
      <c r="Z22" s="31" t="str">
        <f aca="false">IF($A22="","",IF(AND(IFERROR(MATCH(J22,Settings!$A$10:$A$14,0),0)&gt;=MATCH(Settings!$B$4,Settings!$A$10:$A$14,0),K22="Yes",L22="Yes"),"Pass","Fail"))</f>
        <v>Pass</v>
      </c>
      <c r="AA22" s="31" t="str">
        <f aca="false">IF($A22="","",IF(COUNTIF(M22:P22,"Yes")=4,"Pass","Fail"))</f>
        <v>Pass</v>
      </c>
      <c r="AB22" s="31" t="n">
        <f aca="false">IF($A22="","",SUM(Q22:U22))</f>
        <v>9</v>
      </c>
      <c r="AC22" s="31" t="str">
        <f aca="false">IF($A22="","",IF(OR(Y22="Fail",X22="Yes",V22&lt;&gt;"Yes"),"Not a fit",IF(OR(Z22="Fail",AA22="Fail"),"Development pathway",IF(AB22&gt;=Settings!$B$5,"Qualified: high intent",IF(AB22&gt;=Settings!$B$6,"Qualified: nurture","Development pathway")))))</f>
        <v>Qualified: high intent</v>
      </c>
      <c r="AD22" s="32"/>
    </row>
    <row r="23" customFormat="false" ht="23.85" hidden="false" customHeight="false" outlineLevel="0" collapsed="false">
      <c r="A23" s="28" t="s">
        <v>79</v>
      </c>
      <c r="B23" s="29"/>
      <c r="C23" s="29"/>
      <c r="D23" s="30"/>
      <c r="E23" s="30" t="s">
        <v>76</v>
      </c>
      <c r="F23" s="30" t="s">
        <v>77</v>
      </c>
      <c r="G23" s="30" t="s">
        <v>77</v>
      </c>
      <c r="H23" s="30" t="s">
        <v>77</v>
      </c>
      <c r="I23" s="30" t="s">
        <v>77</v>
      </c>
      <c r="J23" s="30" t="s">
        <v>33</v>
      </c>
      <c r="K23" s="30" t="s">
        <v>77</v>
      </c>
      <c r="L23" s="30" t="s">
        <v>77</v>
      </c>
      <c r="M23" s="30" t="s">
        <v>77</v>
      </c>
      <c r="N23" s="30" t="s">
        <v>77</v>
      </c>
      <c r="O23" s="30" t="s">
        <v>77</v>
      </c>
      <c r="P23" s="30" t="s">
        <v>77</v>
      </c>
      <c r="Q23" s="30" t="n">
        <v>2</v>
      </c>
      <c r="R23" s="30" t="n">
        <v>1</v>
      </c>
      <c r="S23" s="30" t="n">
        <v>1</v>
      </c>
      <c r="T23" s="30" t="n">
        <v>1</v>
      </c>
      <c r="U23" s="30" t="n">
        <v>1</v>
      </c>
      <c r="V23" s="30" t="s">
        <v>77</v>
      </c>
      <c r="W23" s="30" t="n">
        <v>1</v>
      </c>
      <c r="X23" s="30" t="s">
        <v>78</v>
      </c>
      <c r="Y23" s="31" t="str">
        <f aca="false">IF($A23="","",IF(COUNTIF(F23:I23,"Yes")=4,"Pass","Fail"))</f>
        <v>Pass</v>
      </c>
      <c r="Z23" s="31" t="str">
        <f aca="false">IF($A23="","",IF(AND(IFERROR(MATCH(J23,Settings!$A$10:$A$14,0),0)&gt;=MATCH(Settings!$B$4,Settings!$A$10:$A$14,0),K23="Yes",L23="Yes"),"Pass","Fail"))</f>
        <v>Pass</v>
      </c>
      <c r="AA23" s="31" t="str">
        <f aca="false">IF($A23="","",IF(COUNTIF(M23:P23,"Yes")=4,"Pass","Fail"))</f>
        <v>Pass</v>
      </c>
      <c r="AB23" s="31" t="n">
        <f aca="false">IF($A23="","",SUM(Q23:U23))</f>
        <v>6</v>
      </c>
      <c r="AC23" s="31" t="str">
        <f aca="false">IF($A23="","",IF(OR(Y23="Fail",X23="Yes",V23&lt;&gt;"Yes"),"Not a fit",IF(OR(Z23="Fail",AA23="Fail"),"Development pathway",IF(AB23&gt;=Settings!$B$5,"Qualified: high intent",IF(AB23&gt;=Settings!$B$6,"Qualified: nurture","Development pathway")))))</f>
        <v>Qualified: nurture</v>
      </c>
      <c r="AD23" s="32"/>
    </row>
    <row r="24" customFormat="false" ht="15" hidden="false" customHeight="false" outlineLevel="0" collapsed="false">
      <c r="A24" s="28" t="s">
        <v>80</v>
      </c>
      <c r="B24" s="29"/>
      <c r="C24" s="29"/>
      <c r="D24" s="30"/>
      <c r="E24" s="30" t="s">
        <v>76</v>
      </c>
      <c r="F24" s="30" t="s">
        <v>77</v>
      </c>
      <c r="G24" s="30" t="s">
        <v>77</v>
      </c>
      <c r="H24" s="30" t="s">
        <v>77</v>
      </c>
      <c r="I24" s="30" t="s">
        <v>77</v>
      </c>
      <c r="J24" s="30" t="s">
        <v>29</v>
      </c>
      <c r="K24" s="30" t="s">
        <v>77</v>
      </c>
      <c r="L24" s="30" t="s">
        <v>77</v>
      </c>
      <c r="M24" s="30" t="s">
        <v>77</v>
      </c>
      <c r="N24" s="30" t="s">
        <v>78</v>
      </c>
      <c r="O24" s="30" t="s">
        <v>78</v>
      </c>
      <c r="P24" s="30" t="s">
        <v>77</v>
      </c>
      <c r="Q24" s="30" t="n">
        <v>2</v>
      </c>
      <c r="R24" s="30" t="n">
        <v>1</v>
      </c>
      <c r="S24" s="30" t="n">
        <v>2</v>
      </c>
      <c r="T24" s="30" t="n">
        <v>2</v>
      </c>
      <c r="U24" s="30" t="n">
        <v>2</v>
      </c>
      <c r="V24" s="30" t="s">
        <v>77</v>
      </c>
      <c r="W24" s="30" t="n">
        <v>2</v>
      </c>
      <c r="X24" s="30" t="s">
        <v>78</v>
      </c>
      <c r="Y24" s="31" t="str">
        <f aca="false">IF($A24="","",IF(COUNTIF(F24:I24,"Yes")=4,"Pass","Fail"))</f>
        <v>Pass</v>
      </c>
      <c r="Z24" s="31" t="str">
        <f aca="false">IF($A24="","",IF(AND(IFERROR(MATCH(J24,Settings!$A$10:$A$14,0),0)&gt;=MATCH(Settings!$B$4,Settings!$A$10:$A$14,0),K24="Yes",L24="Yes"),"Pass","Fail"))</f>
        <v>Pass</v>
      </c>
      <c r="AA24" s="31" t="str">
        <f aca="false">IF($A24="","",IF(COUNTIF(M24:P24,"Yes")=4,"Pass","Fail"))</f>
        <v>Fail</v>
      </c>
      <c r="AB24" s="31" t="n">
        <f aca="false">IF($A24="","",SUM(Q24:U24))</f>
        <v>9</v>
      </c>
      <c r="AC24" s="31" t="str">
        <f aca="false">IF($A24="","",IF(OR(Y24="Fail",X24="Yes",V24&lt;&gt;"Yes"),"Not a fit",IF(OR(Z24="Fail",AA24="Fail"),"Development pathway",IF(AB24&gt;=Settings!$B$5,"Qualified: high intent",IF(AB24&gt;=Settings!$B$6,"Qualified: nurture","Development pathway")))))</f>
        <v>Development pathway</v>
      </c>
      <c r="AD24" s="32"/>
    </row>
    <row r="25" customFormat="false" ht="15" hidden="false" customHeight="false" outlineLevel="0" collapsed="false">
      <c r="A25" s="28" t="s">
        <v>81</v>
      </c>
      <c r="B25" s="29"/>
      <c r="C25" s="29"/>
      <c r="D25" s="30"/>
      <c r="E25" s="30" t="s">
        <v>76</v>
      </c>
      <c r="F25" s="30" t="s">
        <v>77</v>
      </c>
      <c r="G25" s="30" t="s">
        <v>77</v>
      </c>
      <c r="H25" s="30" t="s">
        <v>77</v>
      </c>
      <c r="I25" s="30" t="s">
        <v>77</v>
      </c>
      <c r="J25" s="30" t="s">
        <v>31</v>
      </c>
      <c r="K25" s="30" t="s">
        <v>77</v>
      </c>
      <c r="L25" s="30" t="s">
        <v>77</v>
      </c>
      <c r="M25" s="30" t="s">
        <v>77</v>
      </c>
      <c r="N25" s="30" t="s">
        <v>77</v>
      </c>
      <c r="O25" s="30" t="s">
        <v>77</v>
      </c>
      <c r="P25" s="30" t="s">
        <v>77</v>
      </c>
      <c r="Q25" s="30" t="n">
        <v>2</v>
      </c>
      <c r="R25" s="30" t="n">
        <v>2</v>
      </c>
      <c r="S25" s="30" t="n">
        <v>2</v>
      </c>
      <c r="T25" s="30" t="n">
        <v>2</v>
      </c>
      <c r="U25" s="30" t="n">
        <v>2</v>
      </c>
      <c r="V25" s="30" t="s">
        <v>77</v>
      </c>
      <c r="W25" s="30" t="n">
        <v>1</v>
      </c>
      <c r="X25" s="30" t="s">
        <v>78</v>
      </c>
      <c r="Y25" s="31" t="str">
        <f aca="false">IF($A25="","",IF(COUNTIF(F25:I25,"Yes")=4,"Pass","Fail"))</f>
        <v>Pass</v>
      </c>
      <c r="Z25" s="31" t="str">
        <f aca="false">IF($A25="","",IF(AND(IFERROR(MATCH(J25,Settings!$A$10:$A$14,0),0)&gt;=MATCH(Settings!$B$4,Settings!$A$10:$A$14,0),K25="Yes",L25="Yes"),"Pass","Fail"))</f>
        <v>Pass</v>
      </c>
      <c r="AA25" s="31" t="str">
        <f aca="false">IF($A25="","",IF(COUNTIF(M25:P25,"Yes")=4,"Pass","Fail"))</f>
        <v>Pass</v>
      </c>
      <c r="AB25" s="31" t="n">
        <f aca="false">IF($A25="","",SUM(Q25:U25))</f>
        <v>10</v>
      </c>
      <c r="AC25" s="31" t="str">
        <f aca="false">IF($A25="","",IF(OR(Y25="Fail",X25="Yes",V25&lt;&gt;"Yes"),"Not a fit",IF(OR(Z25="Fail",AA25="Fail"),"Development pathway",IF(AB25&gt;=Settings!$B$5,"Qualified: high intent",IF(AB25&gt;=Settings!$B$6,"Qualified: nurture","Development pathway")))))</f>
        <v>Qualified: high intent</v>
      </c>
      <c r="AD25" s="32"/>
    </row>
    <row r="26" customFormat="false" ht="15" hidden="false" customHeight="false" outlineLevel="0" collapsed="false">
      <c r="A26" s="28" t="s">
        <v>82</v>
      </c>
      <c r="B26" s="29"/>
      <c r="C26" s="29"/>
      <c r="D26" s="30"/>
      <c r="E26" s="30" t="s">
        <v>76</v>
      </c>
      <c r="F26" s="30" t="s">
        <v>77</v>
      </c>
      <c r="G26" s="30" t="s">
        <v>78</v>
      </c>
      <c r="H26" s="30" t="s">
        <v>77</v>
      </c>
      <c r="I26" s="30" t="s">
        <v>78</v>
      </c>
      <c r="J26" s="30" t="s">
        <v>27</v>
      </c>
      <c r="K26" s="30" t="s">
        <v>78</v>
      </c>
      <c r="L26" s="30" t="s">
        <v>78</v>
      </c>
      <c r="M26" s="30" t="s">
        <v>78</v>
      </c>
      <c r="N26" s="30" t="s">
        <v>78</v>
      </c>
      <c r="O26" s="30" t="s">
        <v>78</v>
      </c>
      <c r="P26" s="30" t="s">
        <v>78</v>
      </c>
      <c r="Q26" s="30" t="n">
        <v>0</v>
      </c>
      <c r="R26" s="30" t="n">
        <v>0</v>
      </c>
      <c r="S26" s="30" t="n">
        <v>1</v>
      </c>
      <c r="T26" s="30" t="n">
        <v>0</v>
      </c>
      <c r="U26" s="30" t="n">
        <v>0</v>
      </c>
      <c r="V26" s="30" t="s">
        <v>78</v>
      </c>
      <c r="W26" s="30" t="n">
        <v>0</v>
      </c>
      <c r="X26" s="30" t="s">
        <v>77</v>
      </c>
      <c r="Y26" s="31" t="str">
        <f aca="false">IF($A26="","",IF(COUNTIF(F26:I26,"Yes")=4,"Pass","Fail"))</f>
        <v>Fail</v>
      </c>
      <c r="Z26" s="31" t="str">
        <f aca="false">IF($A26="","",IF(AND(IFERROR(MATCH(J26,Settings!$A$10:$A$14,0),0)&gt;=MATCH(Settings!$B$4,Settings!$A$10:$A$14,0),K26="Yes",L26="Yes"),"Pass","Fail"))</f>
        <v>Fail</v>
      </c>
      <c r="AA26" s="31" t="str">
        <f aca="false">IF($A26="","",IF(COUNTIF(M26:P26,"Yes")=4,"Pass","Fail"))</f>
        <v>Fail</v>
      </c>
      <c r="AB26" s="31" t="n">
        <f aca="false">IF($A26="","",SUM(Q26:U26))</f>
        <v>1</v>
      </c>
      <c r="AC26" s="31" t="str">
        <f aca="false">IF($A26="","",IF(OR(Y26="Fail",X26="Yes",V26&lt;&gt;"Yes"),"Not a fit",IF(OR(Z26="Fail",AA26="Fail"),"Development pathway",IF(AB26&gt;=Settings!$B$5,"Qualified: high intent",IF(AB26&gt;=Settings!$B$6,"Qualified: nurture","Development pathway")))))</f>
        <v>Not a fit</v>
      </c>
      <c r="AD26" s="32"/>
    </row>
    <row r="27" customFormat="false" ht="15" hidden="false" customHeight="false" outlineLevel="0" collapsed="false">
      <c r="A27" s="29"/>
      <c r="B27" s="29"/>
      <c r="C27" s="29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1" t="str">
        <f aca="false">IF($A27="","",IF(COUNTIF(F27:I27,"Yes")=4,"Pass","Fail"))</f>
        <v/>
      </c>
      <c r="Z27" s="31" t="str">
        <f aca="false">IF($A27="","",IF(AND(IFERROR(MATCH(J27,Settings!$A$10:$A$14,0),0)&gt;=MATCH(Settings!$B$4,Settings!$A$10:$A$14,0),K27="Yes",L27="Yes"),"Pass","Fail"))</f>
        <v/>
      </c>
      <c r="AA27" s="31" t="str">
        <f aca="false">IF($A27="","",IF(COUNTIF(M27:P27,"Yes")=4,"Pass","Fail"))</f>
        <v/>
      </c>
      <c r="AB27" s="31" t="str">
        <f aca="false">IF($A27="","",SUM(Q27:U27))</f>
        <v/>
      </c>
      <c r="AC27" s="31" t="str">
        <f aca="false">IF($A27="","",IF(OR(Y27="Fail",X27="Yes",V27&lt;&gt;"Yes"),"Not a fit",IF(OR(Z27="Fail",AA27="Fail"),"Development pathway",IF(AB27&gt;=Settings!$B$5,"Qualified: high intent",IF(AB27&gt;=Settings!$B$6,"Qualified: nurture","Development pathway")))))</f>
        <v/>
      </c>
      <c r="AD27" s="32"/>
    </row>
    <row r="28" customFormat="false" ht="15" hidden="false" customHeight="false" outlineLevel="0" collapsed="false">
      <c r="A28" s="29"/>
      <c r="B28" s="29"/>
      <c r="C28" s="29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1" t="str">
        <f aca="false">IF($A28="","",IF(COUNTIF(F28:I28,"Yes")=4,"Pass","Fail"))</f>
        <v/>
      </c>
      <c r="Z28" s="31" t="str">
        <f aca="false">IF($A28="","",IF(AND(IFERROR(MATCH(J28,Settings!$A$10:$A$14,0),0)&gt;=MATCH(Settings!$B$4,Settings!$A$10:$A$14,0),K28="Yes",L28="Yes"),"Pass","Fail"))</f>
        <v/>
      </c>
      <c r="AA28" s="31" t="str">
        <f aca="false">IF($A28="","",IF(COUNTIF(M28:P28,"Yes")=4,"Pass","Fail"))</f>
        <v/>
      </c>
      <c r="AB28" s="31" t="str">
        <f aca="false">IF($A28="","",SUM(Q28:U28))</f>
        <v/>
      </c>
      <c r="AC28" s="31" t="str">
        <f aca="false">IF($A28="","",IF(OR(Y28="Fail",X28="Yes",V28&lt;&gt;"Yes"),"Not a fit",IF(OR(Z28="Fail",AA28="Fail"),"Development pathway",IF(AB28&gt;=Settings!$B$5,"Qualified: high intent",IF(AB28&gt;=Settings!$B$6,"Qualified: nurture","Development pathway")))))</f>
        <v/>
      </c>
      <c r="AD28" s="32"/>
    </row>
    <row r="29" customFormat="false" ht="15" hidden="false" customHeight="false" outlineLevel="0" collapsed="false">
      <c r="A29" s="29"/>
      <c r="B29" s="29"/>
      <c r="C29" s="29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1" t="str">
        <f aca="false">IF($A29="","",IF(COUNTIF(F29:I29,"Yes")=4,"Pass","Fail"))</f>
        <v/>
      </c>
      <c r="Z29" s="31" t="str">
        <f aca="false">IF($A29="","",IF(AND(IFERROR(MATCH(J29,Settings!$A$10:$A$14,0),0)&gt;=MATCH(Settings!$B$4,Settings!$A$10:$A$14,0),K29="Yes",L29="Yes"),"Pass","Fail"))</f>
        <v/>
      </c>
      <c r="AA29" s="31" t="str">
        <f aca="false">IF($A29="","",IF(COUNTIF(M29:P29,"Yes")=4,"Pass","Fail"))</f>
        <v/>
      </c>
      <c r="AB29" s="31" t="str">
        <f aca="false">IF($A29="","",SUM(Q29:U29))</f>
        <v/>
      </c>
      <c r="AC29" s="31" t="str">
        <f aca="false">IF($A29="","",IF(OR(Y29="Fail",X29="Yes",V29&lt;&gt;"Yes"),"Not a fit",IF(OR(Z29="Fail",AA29="Fail"),"Development pathway",IF(AB29&gt;=Settings!$B$5,"Qualified: high intent",IF(AB29&gt;=Settings!$B$6,"Qualified: nurture","Development pathway")))))</f>
        <v/>
      </c>
      <c r="AD29" s="32"/>
    </row>
    <row r="30" customFormat="false" ht="15" hidden="false" customHeight="false" outlineLevel="0" collapsed="false">
      <c r="A30" s="29"/>
      <c r="B30" s="29"/>
      <c r="C30" s="29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1" t="str">
        <f aca="false">IF($A30="","",IF(COUNTIF(F30:I30,"Yes")=4,"Pass","Fail"))</f>
        <v/>
      </c>
      <c r="Z30" s="31" t="str">
        <f aca="false">IF($A30="","",IF(AND(IFERROR(MATCH(J30,Settings!$A$10:$A$14,0),0)&gt;=MATCH(Settings!$B$4,Settings!$A$10:$A$14,0),K30="Yes",L30="Yes"),"Pass","Fail"))</f>
        <v/>
      </c>
      <c r="AA30" s="31" t="str">
        <f aca="false">IF($A30="","",IF(COUNTIF(M30:P30,"Yes")=4,"Pass","Fail"))</f>
        <v/>
      </c>
      <c r="AB30" s="31" t="str">
        <f aca="false">IF($A30="","",SUM(Q30:U30))</f>
        <v/>
      </c>
      <c r="AC30" s="31" t="str">
        <f aca="false">IF($A30="","",IF(OR(Y30="Fail",X30="Yes",V30&lt;&gt;"Yes"),"Not a fit",IF(OR(Z30="Fail",AA30="Fail"),"Development pathway",IF(AB30&gt;=Settings!$B$5,"Qualified: high intent",IF(AB30&gt;=Settings!$B$6,"Qualified: nurture","Development pathway")))))</f>
        <v/>
      </c>
      <c r="AD30" s="32"/>
    </row>
    <row r="31" customFormat="false" ht="15" hidden="false" customHeight="false" outlineLevel="0" collapsed="false">
      <c r="A31" s="29"/>
      <c r="B31" s="29"/>
      <c r="C31" s="29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1" t="str">
        <f aca="false">IF($A31="","",IF(COUNTIF(F31:I31,"Yes")=4,"Pass","Fail"))</f>
        <v/>
      </c>
      <c r="Z31" s="31" t="str">
        <f aca="false">IF($A31="","",IF(AND(IFERROR(MATCH(J31,Settings!$A$10:$A$14,0),0)&gt;=MATCH(Settings!$B$4,Settings!$A$10:$A$14,0),K31="Yes",L31="Yes"),"Pass","Fail"))</f>
        <v/>
      </c>
      <c r="AA31" s="31" t="str">
        <f aca="false">IF($A31="","",IF(COUNTIF(M31:P31,"Yes")=4,"Pass","Fail"))</f>
        <v/>
      </c>
      <c r="AB31" s="31" t="str">
        <f aca="false">IF($A31="","",SUM(Q31:U31))</f>
        <v/>
      </c>
      <c r="AC31" s="31" t="str">
        <f aca="false">IF($A31="","",IF(OR(Y31="Fail",X31="Yes",V31&lt;&gt;"Yes"),"Not a fit",IF(OR(Z31="Fail",AA31="Fail"),"Development pathway",IF(AB31&gt;=Settings!$B$5,"Qualified: high intent",IF(AB31&gt;=Settings!$B$6,"Qualified: nurture","Development pathway")))))</f>
        <v/>
      </c>
      <c r="AD31" s="32"/>
    </row>
    <row r="32" customFormat="false" ht="15" hidden="false" customHeight="false" outlineLevel="0" collapsed="false">
      <c r="A32" s="29"/>
      <c r="B32" s="29"/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1" t="str">
        <f aca="false">IF($A32="","",IF(COUNTIF(F32:I32,"Yes")=4,"Pass","Fail"))</f>
        <v/>
      </c>
      <c r="Z32" s="31" t="str">
        <f aca="false">IF($A32="","",IF(AND(IFERROR(MATCH(J32,Settings!$A$10:$A$14,0),0)&gt;=MATCH(Settings!$B$4,Settings!$A$10:$A$14,0),K32="Yes",L32="Yes"),"Pass","Fail"))</f>
        <v/>
      </c>
      <c r="AA32" s="31" t="str">
        <f aca="false">IF($A32="","",IF(COUNTIF(M32:P32,"Yes")=4,"Pass","Fail"))</f>
        <v/>
      </c>
      <c r="AB32" s="31" t="str">
        <f aca="false">IF($A32="","",SUM(Q32:U32))</f>
        <v/>
      </c>
      <c r="AC32" s="31" t="str">
        <f aca="false">IF($A32="","",IF(OR(Y32="Fail",X32="Yes",V32&lt;&gt;"Yes"),"Not a fit",IF(OR(Z32="Fail",AA32="Fail"),"Development pathway",IF(AB32&gt;=Settings!$B$5,"Qualified: high intent",IF(AB32&gt;=Settings!$B$6,"Qualified: nurture","Development pathway")))))</f>
        <v/>
      </c>
      <c r="AD32" s="32"/>
    </row>
    <row r="33" customFormat="false" ht="15" hidden="false" customHeight="false" outlineLevel="0" collapsed="false">
      <c r="A33" s="29"/>
      <c r="B33" s="29"/>
      <c r="C33" s="29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1" t="str">
        <f aca="false">IF($A33="","",IF(COUNTIF(F33:I33,"Yes")=4,"Pass","Fail"))</f>
        <v/>
      </c>
      <c r="Z33" s="31" t="str">
        <f aca="false">IF($A33="","",IF(AND(IFERROR(MATCH(J33,Settings!$A$10:$A$14,0),0)&gt;=MATCH(Settings!$B$4,Settings!$A$10:$A$14,0),K33="Yes",L33="Yes"),"Pass","Fail"))</f>
        <v/>
      </c>
      <c r="AA33" s="31" t="str">
        <f aca="false">IF($A33="","",IF(COUNTIF(M33:P33,"Yes")=4,"Pass","Fail"))</f>
        <v/>
      </c>
      <c r="AB33" s="31" t="str">
        <f aca="false">IF($A33="","",SUM(Q33:U33))</f>
        <v/>
      </c>
      <c r="AC33" s="31" t="str">
        <f aca="false">IF($A33="","",IF(OR(Y33="Fail",X33="Yes",V33&lt;&gt;"Yes"),"Not a fit",IF(OR(Z33="Fail",AA33="Fail"),"Development pathway",IF(AB33&gt;=Settings!$B$5,"Qualified: high intent",IF(AB33&gt;=Settings!$B$6,"Qualified: nurture","Development pathway")))))</f>
        <v/>
      </c>
      <c r="AD33" s="32"/>
    </row>
    <row r="34" customFormat="false" ht="15" hidden="false" customHeight="false" outlineLevel="0" collapsed="false">
      <c r="A34" s="29"/>
      <c r="B34" s="29"/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1" t="str">
        <f aca="false">IF($A34="","",IF(COUNTIF(F34:I34,"Yes")=4,"Pass","Fail"))</f>
        <v/>
      </c>
      <c r="Z34" s="31" t="str">
        <f aca="false">IF($A34="","",IF(AND(IFERROR(MATCH(J34,Settings!$A$10:$A$14,0),0)&gt;=MATCH(Settings!$B$4,Settings!$A$10:$A$14,0),K34="Yes",L34="Yes"),"Pass","Fail"))</f>
        <v/>
      </c>
      <c r="AA34" s="31" t="str">
        <f aca="false">IF($A34="","",IF(COUNTIF(M34:P34,"Yes")=4,"Pass","Fail"))</f>
        <v/>
      </c>
      <c r="AB34" s="31" t="str">
        <f aca="false">IF($A34="","",SUM(Q34:U34))</f>
        <v/>
      </c>
      <c r="AC34" s="31" t="str">
        <f aca="false">IF($A34="","",IF(OR(Y34="Fail",X34="Yes",V34&lt;&gt;"Yes"),"Not a fit",IF(OR(Z34="Fail",AA34="Fail"),"Development pathway",IF(AB34&gt;=Settings!$B$5,"Qualified: high intent",IF(AB34&gt;=Settings!$B$6,"Qualified: nurture","Development pathway")))))</f>
        <v/>
      </c>
      <c r="AD34" s="32"/>
    </row>
    <row r="35" customFormat="false" ht="15" hidden="false" customHeight="false" outlineLevel="0" collapsed="false">
      <c r="A35" s="29"/>
      <c r="B35" s="29"/>
      <c r="C35" s="29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1" t="str">
        <f aca="false">IF($A35="","",IF(COUNTIF(F35:I35,"Yes")=4,"Pass","Fail"))</f>
        <v/>
      </c>
      <c r="Z35" s="31" t="str">
        <f aca="false">IF($A35="","",IF(AND(IFERROR(MATCH(J35,Settings!$A$10:$A$14,0),0)&gt;=MATCH(Settings!$B$4,Settings!$A$10:$A$14,0),K35="Yes",L35="Yes"),"Pass","Fail"))</f>
        <v/>
      </c>
      <c r="AA35" s="31" t="str">
        <f aca="false">IF($A35="","",IF(COUNTIF(M35:P35,"Yes")=4,"Pass","Fail"))</f>
        <v/>
      </c>
      <c r="AB35" s="31" t="str">
        <f aca="false">IF($A35="","",SUM(Q35:U35))</f>
        <v/>
      </c>
      <c r="AC35" s="31" t="str">
        <f aca="false">IF($A35="","",IF(OR(Y35="Fail",X35="Yes",V35&lt;&gt;"Yes"),"Not a fit",IF(OR(Z35="Fail",AA35="Fail"),"Development pathway",IF(AB35&gt;=Settings!$B$5,"Qualified: high intent",IF(AB35&gt;=Settings!$B$6,"Qualified: nurture","Development pathway")))))</f>
        <v/>
      </c>
      <c r="AD35" s="32"/>
    </row>
    <row r="36" customFormat="false" ht="15" hidden="false" customHeight="false" outlineLevel="0" collapsed="false">
      <c r="A36" s="29"/>
      <c r="B36" s="29"/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1" t="str">
        <f aca="false">IF($A36="","",IF(COUNTIF(F36:I36,"Yes")=4,"Pass","Fail"))</f>
        <v/>
      </c>
      <c r="Z36" s="31" t="str">
        <f aca="false">IF($A36="","",IF(AND(IFERROR(MATCH(J36,Settings!$A$10:$A$14,0),0)&gt;=MATCH(Settings!$B$4,Settings!$A$10:$A$14,0),K36="Yes",L36="Yes"),"Pass","Fail"))</f>
        <v/>
      </c>
      <c r="AA36" s="31" t="str">
        <f aca="false">IF($A36="","",IF(COUNTIF(M36:P36,"Yes")=4,"Pass","Fail"))</f>
        <v/>
      </c>
      <c r="AB36" s="31" t="str">
        <f aca="false">IF($A36="","",SUM(Q36:U36))</f>
        <v/>
      </c>
      <c r="AC36" s="31" t="str">
        <f aca="false">IF($A36="","",IF(OR(Y36="Fail",X36="Yes",V36&lt;&gt;"Yes"),"Not a fit",IF(OR(Z36="Fail",AA36="Fail"),"Development pathway",IF(AB36&gt;=Settings!$B$5,"Qualified: high intent",IF(AB36&gt;=Settings!$B$6,"Qualified: nurture","Development pathway")))))</f>
        <v/>
      </c>
      <c r="AD36" s="32"/>
    </row>
    <row r="37" customFormat="false" ht="15" hidden="false" customHeight="false" outlineLevel="0" collapsed="false">
      <c r="A37" s="29"/>
      <c r="B37" s="29"/>
      <c r="C37" s="29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1" t="str">
        <f aca="false">IF($A37="","",IF(COUNTIF(F37:I37,"Yes")=4,"Pass","Fail"))</f>
        <v/>
      </c>
      <c r="Z37" s="31" t="str">
        <f aca="false">IF($A37="","",IF(AND(IFERROR(MATCH(J37,Settings!$A$10:$A$14,0),0)&gt;=MATCH(Settings!$B$4,Settings!$A$10:$A$14,0),K37="Yes",L37="Yes"),"Pass","Fail"))</f>
        <v/>
      </c>
      <c r="AA37" s="31" t="str">
        <f aca="false">IF($A37="","",IF(COUNTIF(M37:P37,"Yes")=4,"Pass","Fail"))</f>
        <v/>
      </c>
      <c r="AB37" s="31" t="str">
        <f aca="false">IF($A37="","",SUM(Q37:U37))</f>
        <v/>
      </c>
      <c r="AC37" s="31" t="str">
        <f aca="false">IF($A37="","",IF(OR(Y37="Fail",X37="Yes",V37&lt;&gt;"Yes"),"Not a fit",IF(OR(Z37="Fail",AA37="Fail"),"Development pathway",IF(AB37&gt;=Settings!$B$5,"Qualified: high intent",IF(AB37&gt;=Settings!$B$6,"Qualified: nurture","Development pathway")))))</f>
        <v/>
      </c>
      <c r="AD37" s="32"/>
    </row>
    <row r="38" customFormat="false" ht="15" hidden="false" customHeight="false" outlineLevel="0" collapsed="false">
      <c r="A38" s="29"/>
      <c r="B38" s="29"/>
      <c r="C38" s="29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1" t="str">
        <f aca="false">IF($A38="","",IF(COUNTIF(F38:I38,"Yes")=4,"Pass","Fail"))</f>
        <v/>
      </c>
      <c r="Z38" s="31" t="str">
        <f aca="false">IF($A38="","",IF(AND(IFERROR(MATCH(J38,Settings!$A$10:$A$14,0),0)&gt;=MATCH(Settings!$B$4,Settings!$A$10:$A$14,0),K38="Yes",L38="Yes"),"Pass","Fail"))</f>
        <v/>
      </c>
      <c r="AA38" s="31" t="str">
        <f aca="false">IF($A38="","",IF(COUNTIF(M38:P38,"Yes")=4,"Pass","Fail"))</f>
        <v/>
      </c>
      <c r="AB38" s="31" t="str">
        <f aca="false">IF($A38="","",SUM(Q38:U38))</f>
        <v/>
      </c>
      <c r="AC38" s="31" t="str">
        <f aca="false">IF($A38="","",IF(OR(Y38="Fail",X38="Yes",V38&lt;&gt;"Yes"),"Not a fit",IF(OR(Z38="Fail",AA38="Fail"),"Development pathway",IF(AB38&gt;=Settings!$B$5,"Qualified: high intent",IF(AB38&gt;=Settings!$B$6,"Qualified: nurture","Development pathway")))))</f>
        <v/>
      </c>
      <c r="AD38" s="32"/>
    </row>
    <row r="39" customFormat="false" ht="15" hidden="false" customHeight="false" outlineLevel="0" collapsed="false">
      <c r="A39" s="29"/>
      <c r="B39" s="29"/>
      <c r="C39" s="29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1" t="str">
        <f aca="false">IF($A39="","",IF(COUNTIF(F39:I39,"Yes")=4,"Pass","Fail"))</f>
        <v/>
      </c>
      <c r="Z39" s="31" t="str">
        <f aca="false">IF($A39="","",IF(AND(IFERROR(MATCH(J39,Settings!$A$10:$A$14,0),0)&gt;=MATCH(Settings!$B$4,Settings!$A$10:$A$14,0),K39="Yes",L39="Yes"),"Pass","Fail"))</f>
        <v/>
      </c>
      <c r="AA39" s="31" t="str">
        <f aca="false">IF($A39="","",IF(COUNTIF(M39:P39,"Yes")=4,"Pass","Fail"))</f>
        <v/>
      </c>
      <c r="AB39" s="31" t="str">
        <f aca="false">IF($A39="","",SUM(Q39:U39))</f>
        <v/>
      </c>
      <c r="AC39" s="31" t="str">
        <f aca="false">IF($A39="","",IF(OR(Y39="Fail",X39="Yes",V39&lt;&gt;"Yes"),"Not a fit",IF(OR(Z39="Fail",AA39="Fail"),"Development pathway",IF(AB39&gt;=Settings!$B$5,"Qualified: high intent",IF(AB39&gt;=Settings!$B$6,"Qualified: nurture","Development pathway")))))</f>
        <v/>
      </c>
      <c r="AD39" s="32"/>
    </row>
    <row r="40" customFormat="false" ht="15" hidden="false" customHeight="false" outlineLevel="0" collapsed="false">
      <c r="A40" s="29"/>
      <c r="B40" s="29"/>
      <c r="C40" s="29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1" t="str">
        <f aca="false">IF($A40="","",IF(COUNTIF(F40:I40,"Yes")=4,"Pass","Fail"))</f>
        <v/>
      </c>
      <c r="Z40" s="31" t="str">
        <f aca="false">IF($A40="","",IF(AND(IFERROR(MATCH(J40,Settings!$A$10:$A$14,0),0)&gt;=MATCH(Settings!$B$4,Settings!$A$10:$A$14,0),K40="Yes",L40="Yes"),"Pass","Fail"))</f>
        <v/>
      </c>
      <c r="AA40" s="31" t="str">
        <f aca="false">IF($A40="","",IF(COUNTIF(M40:P40,"Yes")=4,"Pass","Fail"))</f>
        <v/>
      </c>
      <c r="AB40" s="31" t="str">
        <f aca="false">IF($A40="","",SUM(Q40:U40))</f>
        <v/>
      </c>
      <c r="AC40" s="31" t="str">
        <f aca="false">IF($A40="","",IF(OR(Y40="Fail",X40="Yes",V40&lt;&gt;"Yes"),"Not a fit",IF(OR(Z40="Fail",AA40="Fail"),"Development pathway",IF(AB40&gt;=Settings!$B$5,"Qualified: high intent",IF(AB40&gt;=Settings!$B$6,"Qualified: nurture","Development pathway")))))</f>
        <v/>
      </c>
      <c r="AD40" s="32"/>
    </row>
    <row r="41" customFormat="false" ht="15" hidden="false" customHeight="false" outlineLevel="0" collapsed="false">
      <c r="A41" s="29"/>
      <c r="B41" s="29"/>
      <c r="C41" s="29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1" t="str">
        <f aca="false">IF($A41="","",IF(COUNTIF(F41:I41,"Yes")=4,"Pass","Fail"))</f>
        <v/>
      </c>
      <c r="Z41" s="31" t="str">
        <f aca="false">IF($A41="","",IF(AND(IFERROR(MATCH(J41,Settings!$A$10:$A$14,0),0)&gt;=MATCH(Settings!$B$4,Settings!$A$10:$A$14,0),K41="Yes",L41="Yes"),"Pass","Fail"))</f>
        <v/>
      </c>
      <c r="AA41" s="31" t="str">
        <f aca="false">IF($A41="","",IF(COUNTIF(M41:P41,"Yes")=4,"Pass","Fail"))</f>
        <v/>
      </c>
      <c r="AB41" s="31" t="str">
        <f aca="false">IF($A41="","",SUM(Q41:U41))</f>
        <v/>
      </c>
      <c r="AC41" s="31" t="str">
        <f aca="false">IF($A41="","",IF(OR(Y41="Fail",X41="Yes",V41&lt;&gt;"Yes"),"Not a fit",IF(OR(Z41="Fail",AA41="Fail"),"Development pathway",IF(AB41&gt;=Settings!$B$5,"Qualified: high intent",IF(AB41&gt;=Settings!$B$6,"Qualified: nurture","Development pathway")))))</f>
        <v/>
      </c>
      <c r="AD41" s="32"/>
    </row>
    <row r="42" customFormat="false" ht="15" hidden="false" customHeight="false" outlineLevel="0" collapsed="false">
      <c r="A42" s="29"/>
      <c r="B42" s="29"/>
      <c r="C42" s="29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1" t="str">
        <f aca="false">IF($A42="","",IF(COUNTIF(F42:I42,"Yes")=4,"Pass","Fail"))</f>
        <v/>
      </c>
      <c r="Z42" s="31" t="str">
        <f aca="false">IF($A42="","",IF(AND(IFERROR(MATCH(J42,Settings!$A$10:$A$14,0),0)&gt;=MATCH(Settings!$B$4,Settings!$A$10:$A$14,0),K42="Yes",L42="Yes"),"Pass","Fail"))</f>
        <v/>
      </c>
      <c r="AA42" s="31" t="str">
        <f aca="false">IF($A42="","",IF(COUNTIF(M42:P42,"Yes")=4,"Pass","Fail"))</f>
        <v/>
      </c>
      <c r="AB42" s="31" t="str">
        <f aca="false">IF($A42="","",SUM(Q42:U42))</f>
        <v/>
      </c>
      <c r="AC42" s="31" t="str">
        <f aca="false">IF($A42="","",IF(OR(Y42="Fail",X42="Yes",V42&lt;&gt;"Yes"),"Not a fit",IF(OR(Z42="Fail",AA42="Fail"),"Development pathway",IF(AB42&gt;=Settings!$B$5,"Qualified: high intent",IF(AB42&gt;=Settings!$B$6,"Qualified: nurture","Development pathway")))))</f>
        <v/>
      </c>
      <c r="AD42" s="32"/>
    </row>
    <row r="43" customFormat="false" ht="15" hidden="false" customHeight="false" outlineLevel="0" collapsed="false">
      <c r="A43" s="29"/>
      <c r="B43" s="29"/>
      <c r="C43" s="29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1" t="str">
        <f aca="false">IF($A43="","",IF(COUNTIF(F43:I43,"Yes")=4,"Pass","Fail"))</f>
        <v/>
      </c>
      <c r="Z43" s="31" t="str">
        <f aca="false">IF($A43="","",IF(AND(IFERROR(MATCH(J43,Settings!$A$10:$A$14,0),0)&gt;=MATCH(Settings!$B$4,Settings!$A$10:$A$14,0),K43="Yes",L43="Yes"),"Pass","Fail"))</f>
        <v/>
      </c>
      <c r="AA43" s="31" t="str">
        <f aca="false">IF($A43="","",IF(COUNTIF(M43:P43,"Yes")=4,"Pass","Fail"))</f>
        <v/>
      </c>
      <c r="AB43" s="31" t="str">
        <f aca="false">IF($A43="","",SUM(Q43:U43))</f>
        <v/>
      </c>
      <c r="AC43" s="31" t="str">
        <f aca="false">IF($A43="","",IF(OR(Y43="Fail",X43="Yes",V43&lt;&gt;"Yes"),"Not a fit",IF(OR(Z43="Fail",AA43="Fail"),"Development pathway",IF(AB43&gt;=Settings!$B$5,"Qualified: high intent",IF(AB43&gt;=Settings!$B$6,"Qualified: nurture","Development pathway")))))</f>
        <v/>
      </c>
      <c r="AD43" s="32"/>
    </row>
    <row r="44" customFormat="false" ht="15" hidden="false" customHeight="false" outlineLevel="0" collapsed="false">
      <c r="A44" s="29"/>
      <c r="B44" s="29"/>
      <c r="C44" s="29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1" t="str">
        <f aca="false">IF($A44="","",IF(COUNTIF(F44:I44,"Yes")=4,"Pass","Fail"))</f>
        <v/>
      </c>
      <c r="Z44" s="31" t="str">
        <f aca="false">IF($A44="","",IF(AND(IFERROR(MATCH(J44,Settings!$A$10:$A$14,0),0)&gt;=MATCH(Settings!$B$4,Settings!$A$10:$A$14,0),K44="Yes",L44="Yes"),"Pass","Fail"))</f>
        <v/>
      </c>
      <c r="AA44" s="31" t="str">
        <f aca="false">IF($A44="","",IF(COUNTIF(M44:P44,"Yes")=4,"Pass","Fail"))</f>
        <v/>
      </c>
      <c r="AB44" s="31" t="str">
        <f aca="false">IF($A44="","",SUM(Q44:U44))</f>
        <v/>
      </c>
      <c r="AC44" s="31" t="str">
        <f aca="false">IF($A44="","",IF(OR(Y44="Fail",X44="Yes",V44&lt;&gt;"Yes"),"Not a fit",IF(OR(Z44="Fail",AA44="Fail"),"Development pathway",IF(AB44&gt;=Settings!$B$5,"Qualified: high intent",IF(AB44&gt;=Settings!$B$6,"Qualified: nurture","Development pathway")))))</f>
        <v/>
      </c>
      <c r="AD44" s="32"/>
    </row>
    <row r="45" customFormat="false" ht="15" hidden="false" customHeight="false" outlineLevel="0" collapsed="false">
      <c r="A45" s="29"/>
      <c r="B45" s="29"/>
      <c r="C45" s="29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1" t="str">
        <f aca="false">IF($A45="","",IF(COUNTIF(F45:I45,"Yes")=4,"Pass","Fail"))</f>
        <v/>
      </c>
      <c r="Z45" s="31" t="str">
        <f aca="false">IF($A45="","",IF(AND(IFERROR(MATCH(J45,Settings!$A$10:$A$14,0),0)&gt;=MATCH(Settings!$B$4,Settings!$A$10:$A$14,0),K45="Yes",L45="Yes"),"Pass","Fail"))</f>
        <v/>
      </c>
      <c r="AA45" s="31" t="str">
        <f aca="false">IF($A45="","",IF(COUNTIF(M45:P45,"Yes")=4,"Pass","Fail"))</f>
        <v/>
      </c>
      <c r="AB45" s="31" t="str">
        <f aca="false">IF($A45="","",SUM(Q45:U45))</f>
        <v/>
      </c>
      <c r="AC45" s="31" t="str">
        <f aca="false">IF($A45="","",IF(OR(Y45="Fail",X45="Yes",V45&lt;&gt;"Yes"),"Not a fit",IF(OR(Z45="Fail",AA45="Fail"),"Development pathway",IF(AB45&gt;=Settings!$B$5,"Qualified: high intent",IF(AB45&gt;=Settings!$B$6,"Qualified: nurture","Development pathway")))))</f>
        <v/>
      </c>
      <c r="AD45" s="32"/>
    </row>
    <row r="46" customFormat="false" ht="15" hidden="false" customHeight="false" outlineLevel="0" collapsed="false">
      <c r="A46" s="29"/>
      <c r="B46" s="29"/>
      <c r="C46" s="29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1" t="str">
        <f aca="false">IF($A46="","",IF(COUNTIF(F46:I46,"Yes")=4,"Pass","Fail"))</f>
        <v/>
      </c>
      <c r="Z46" s="31" t="str">
        <f aca="false">IF($A46="","",IF(AND(IFERROR(MATCH(J46,Settings!$A$10:$A$14,0),0)&gt;=MATCH(Settings!$B$4,Settings!$A$10:$A$14,0),K46="Yes",L46="Yes"),"Pass","Fail"))</f>
        <v/>
      </c>
      <c r="AA46" s="31" t="str">
        <f aca="false">IF($A46="","",IF(COUNTIF(M46:P46,"Yes")=4,"Pass","Fail"))</f>
        <v/>
      </c>
      <c r="AB46" s="31" t="str">
        <f aca="false">IF($A46="","",SUM(Q46:U46))</f>
        <v/>
      </c>
      <c r="AC46" s="31" t="str">
        <f aca="false">IF($A46="","",IF(OR(Y46="Fail",X46="Yes",V46&lt;&gt;"Yes"),"Not a fit",IF(OR(Z46="Fail",AA46="Fail"),"Development pathway",IF(AB46&gt;=Settings!$B$5,"Qualified: high intent",IF(AB46&gt;=Settings!$B$6,"Qualified: nurture","Development pathway")))))</f>
        <v/>
      </c>
      <c r="AD46" s="32"/>
    </row>
    <row r="47" customFormat="false" ht="15" hidden="false" customHeight="false" outlineLevel="0" collapsed="false">
      <c r="A47" s="29"/>
      <c r="B47" s="29"/>
      <c r="C47" s="29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1" t="str">
        <f aca="false">IF($A47="","",IF(COUNTIF(F47:I47,"Yes")=4,"Pass","Fail"))</f>
        <v/>
      </c>
      <c r="Z47" s="31" t="str">
        <f aca="false">IF($A47="","",IF(AND(IFERROR(MATCH(J47,Settings!$A$10:$A$14,0),0)&gt;=MATCH(Settings!$B$4,Settings!$A$10:$A$14,0),K47="Yes",L47="Yes"),"Pass","Fail"))</f>
        <v/>
      </c>
      <c r="AA47" s="31" t="str">
        <f aca="false">IF($A47="","",IF(COUNTIF(M47:P47,"Yes")=4,"Pass","Fail"))</f>
        <v/>
      </c>
      <c r="AB47" s="31" t="str">
        <f aca="false">IF($A47="","",SUM(Q47:U47))</f>
        <v/>
      </c>
      <c r="AC47" s="31" t="str">
        <f aca="false">IF($A47="","",IF(OR(Y47="Fail",X47="Yes",V47&lt;&gt;"Yes"),"Not a fit",IF(OR(Z47="Fail",AA47="Fail"),"Development pathway",IF(AB47&gt;=Settings!$B$5,"Qualified: high intent",IF(AB47&gt;=Settings!$B$6,"Qualified: nurture","Development pathway")))))</f>
        <v/>
      </c>
      <c r="AD47" s="32"/>
    </row>
    <row r="48" customFormat="false" ht="15" hidden="false" customHeight="false" outlineLevel="0" collapsed="false">
      <c r="A48" s="29"/>
      <c r="B48" s="29"/>
      <c r="C48" s="29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1" t="str">
        <f aca="false">IF($A48="","",IF(COUNTIF(F48:I48,"Yes")=4,"Pass","Fail"))</f>
        <v/>
      </c>
      <c r="Z48" s="31" t="str">
        <f aca="false">IF($A48="","",IF(AND(IFERROR(MATCH(J48,Settings!$A$10:$A$14,0),0)&gt;=MATCH(Settings!$B$4,Settings!$A$10:$A$14,0),K48="Yes",L48="Yes"),"Pass","Fail"))</f>
        <v/>
      </c>
      <c r="AA48" s="31" t="str">
        <f aca="false">IF($A48="","",IF(COUNTIF(M48:P48,"Yes")=4,"Pass","Fail"))</f>
        <v/>
      </c>
      <c r="AB48" s="31" t="str">
        <f aca="false">IF($A48="","",SUM(Q48:U48))</f>
        <v/>
      </c>
      <c r="AC48" s="31" t="str">
        <f aca="false">IF($A48="","",IF(OR(Y48="Fail",X48="Yes",V48&lt;&gt;"Yes"),"Not a fit",IF(OR(Z48="Fail",AA48="Fail"),"Development pathway",IF(AB48&gt;=Settings!$B$5,"Qualified: high intent",IF(AB48&gt;=Settings!$B$6,"Qualified: nurture","Development pathway")))))</f>
        <v/>
      </c>
      <c r="AD48" s="32"/>
    </row>
    <row r="49" customFormat="false" ht="15" hidden="false" customHeight="false" outlineLevel="0" collapsed="false">
      <c r="A49" s="29"/>
      <c r="B49" s="29"/>
      <c r="C49" s="29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1" t="str">
        <f aca="false">IF($A49="","",IF(COUNTIF(F49:I49,"Yes")=4,"Pass","Fail"))</f>
        <v/>
      </c>
      <c r="Z49" s="31" t="str">
        <f aca="false">IF($A49="","",IF(AND(IFERROR(MATCH(J49,Settings!$A$10:$A$14,0),0)&gt;=MATCH(Settings!$B$4,Settings!$A$10:$A$14,0),K49="Yes",L49="Yes"),"Pass","Fail"))</f>
        <v/>
      </c>
      <c r="AA49" s="31" t="str">
        <f aca="false">IF($A49="","",IF(COUNTIF(M49:P49,"Yes")=4,"Pass","Fail"))</f>
        <v/>
      </c>
      <c r="AB49" s="31" t="str">
        <f aca="false">IF($A49="","",SUM(Q49:U49))</f>
        <v/>
      </c>
      <c r="AC49" s="31" t="str">
        <f aca="false">IF($A49="","",IF(OR(Y49="Fail",X49="Yes",V49&lt;&gt;"Yes"),"Not a fit",IF(OR(Z49="Fail",AA49="Fail"),"Development pathway",IF(AB49&gt;=Settings!$B$5,"Qualified: high intent",IF(AB49&gt;=Settings!$B$6,"Qualified: nurture","Development pathway")))))</f>
        <v/>
      </c>
      <c r="AD49" s="32"/>
    </row>
    <row r="50" customFormat="false" ht="15" hidden="false" customHeight="false" outlineLevel="0" collapsed="false">
      <c r="A50" s="29"/>
      <c r="B50" s="29"/>
      <c r="C50" s="29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1" t="str">
        <f aca="false">IF($A50="","",IF(COUNTIF(F50:I50,"Yes")=4,"Pass","Fail"))</f>
        <v/>
      </c>
      <c r="Z50" s="31" t="str">
        <f aca="false">IF($A50="","",IF(AND(IFERROR(MATCH(J50,Settings!$A$10:$A$14,0),0)&gt;=MATCH(Settings!$B$4,Settings!$A$10:$A$14,0),K50="Yes",L50="Yes"),"Pass","Fail"))</f>
        <v/>
      </c>
      <c r="AA50" s="31" t="str">
        <f aca="false">IF($A50="","",IF(COUNTIF(M50:P50,"Yes")=4,"Pass","Fail"))</f>
        <v/>
      </c>
      <c r="AB50" s="31" t="str">
        <f aca="false">IF($A50="","",SUM(Q50:U50))</f>
        <v/>
      </c>
      <c r="AC50" s="31" t="str">
        <f aca="false">IF($A50="","",IF(OR(Y50="Fail",X50="Yes",V50&lt;&gt;"Yes"),"Not a fit",IF(OR(Z50="Fail",AA50="Fail"),"Development pathway",IF(AB50&gt;=Settings!$B$5,"Qualified: high intent",IF(AB50&gt;=Settings!$B$6,"Qualified: nurture","Development pathway")))))</f>
        <v/>
      </c>
      <c r="AD50" s="32"/>
    </row>
    <row r="51" customFormat="false" ht="15" hidden="false" customHeight="false" outlineLevel="0" collapsed="false">
      <c r="A51" s="29"/>
      <c r="B51" s="29"/>
      <c r="C51" s="29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1" t="str">
        <f aca="false">IF($A51="","",IF(COUNTIF(F51:I51,"Yes")=4,"Pass","Fail"))</f>
        <v/>
      </c>
      <c r="Z51" s="31" t="str">
        <f aca="false">IF($A51="","",IF(AND(IFERROR(MATCH(J51,Settings!$A$10:$A$14,0),0)&gt;=MATCH(Settings!$B$4,Settings!$A$10:$A$14,0),K51="Yes",L51="Yes"),"Pass","Fail"))</f>
        <v/>
      </c>
      <c r="AA51" s="31" t="str">
        <f aca="false">IF($A51="","",IF(COUNTIF(M51:P51,"Yes")=4,"Pass","Fail"))</f>
        <v/>
      </c>
      <c r="AB51" s="31" t="str">
        <f aca="false">IF($A51="","",SUM(Q51:U51))</f>
        <v/>
      </c>
      <c r="AC51" s="31" t="str">
        <f aca="false">IF($A51="","",IF(OR(Y51="Fail",X51="Yes",V51&lt;&gt;"Yes"),"Not a fit",IF(OR(Z51="Fail",AA51="Fail"),"Development pathway",IF(AB51&gt;=Settings!$B$5,"Qualified: high intent",IF(AB51&gt;=Settings!$B$6,"Qualified: nurture","Development pathway")))))</f>
        <v/>
      </c>
      <c r="AD51" s="32"/>
    </row>
    <row r="52" customFormat="false" ht="15" hidden="false" customHeight="false" outlineLevel="0" collapsed="false">
      <c r="A52" s="29"/>
      <c r="B52" s="29"/>
      <c r="C52" s="29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1" t="str">
        <f aca="false">IF($A52="","",IF(COUNTIF(F52:I52,"Yes")=4,"Pass","Fail"))</f>
        <v/>
      </c>
      <c r="Z52" s="31" t="str">
        <f aca="false">IF($A52="","",IF(AND(IFERROR(MATCH(J52,Settings!$A$10:$A$14,0),0)&gt;=MATCH(Settings!$B$4,Settings!$A$10:$A$14,0),K52="Yes",L52="Yes"),"Pass","Fail"))</f>
        <v/>
      </c>
      <c r="AA52" s="31" t="str">
        <f aca="false">IF($A52="","",IF(COUNTIF(M52:P52,"Yes")=4,"Pass","Fail"))</f>
        <v/>
      </c>
      <c r="AB52" s="31" t="str">
        <f aca="false">IF($A52="","",SUM(Q52:U52))</f>
        <v/>
      </c>
      <c r="AC52" s="31" t="str">
        <f aca="false">IF($A52="","",IF(OR(Y52="Fail",X52="Yes",V52&lt;&gt;"Yes"),"Not a fit",IF(OR(Z52="Fail",AA52="Fail"),"Development pathway",IF(AB52&gt;=Settings!$B$5,"Qualified: high intent",IF(AB52&gt;=Settings!$B$6,"Qualified: nurture","Development pathway")))))</f>
        <v/>
      </c>
      <c r="AD52" s="32"/>
    </row>
    <row r="53" customFormat="false" ht="15" hidden="false" customHeight="false" outlineLevel="0" collapsed="false">
      <c r="A53" s="29"/>
      <c r="B53" s="29"/>
      <c r="C53" s="29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1" t="str">
        <f aca="false">IF($A53="","",IF(COUNTIF(F53:I53,"Yes")=4,"Pass","Fail"))</f>
        <v/>
      </c>
      <c r="Z53" s="31" t="str">
        <f aca="false">IF($A53="","",IF(AND(IFERROR(MATCH(J53,Settings!$A$10:$A$14,0),0)&gt;=MATCH(Settings!$B$4,Settings!$A$10:$A$14,0),K53="Yes",L53="Yes"),"Pass","Fail"))</f>
        <v/>
      </c>
      <c r="AA53" s="31" t="str">
        <f aca="false">IF($A53="","",IF(COUNTIF(M53:P53,"Yes")=4,"Pass","Fail"))</f>
        <v/>
      </c>
      <c r="AB53" s="31" t="str">
        <f aca="false">IF($A53="","",SUM(Q53:U53))</f>
        <v/>
      </c>
      <c r="AC53" s="31" t="str">
        <f aca="false">IF($A53="","",IF(OR(Y53="Fail",X53="Yes",V53&lt;&gt;"Yes"),"Not a fit",IF(OR(Z53="Fail",AA53="Fail"),"Development pathway",IF(AB53&gt;=Settings!$B$5,"Qualified: high intent",IF(AB53&gt;=Settings!$B$6,"Qualified: nurture","Development pathway")))))</f>
        <v/>
      </c>
      <c r="AD53" s="32"/>
    </row>
    <row r="54" customFormat="false" ht="15" hidden="false" customHeight="false" outlineLevel="0" collapsed="false">
      <c r="A54" s="29"/>
      <c r="B54" s="29"/>
      <c r="C54" s="29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1" t="str">
        <f aca="false">IF($A54="","",IF(COUNTIF(F54:I54,"Yes")=4,"Pass","Fail"))</f>
        <v/>
      </c>
      <c r="Z54" s="31" t="str">
        <f aca="false">IF($A54="","",IF(AND(IFERROR(MATCH(J54,Settings!$A$10:$A$14,0),0)&gt;=MATCH(Settings!$B$4,Settings!$A$10:$A$14,0),K54="Yes",L54="Yes"),"Pass","Fail"))</f>
        <v/>
      </c>
      <c r="AA54" s="31" t="str">
        <f aca="false">IF($A54="","",IF(COUNTIF(M54:P54,"Yes")=4,"Pass","Fail"))</f>
        <v/>
      </c>
      <c r="AB54" s="31" t="str">
        <f aca="false">IF($A54="","",SUM(Q54:U54))</f>
        <v/>
      </c>
      <c r="AC54" s="31" t="str">
        <f aca="false">IF($A54="","",IF(OR(Y54="Fail",X54="Yes",V54&lt;&gt;"Yes"),"Not a fit",IF(OR(Z54="Fail",AA54="Fail"),"Development pathway",IF(AB54&gt;=Settings!$B$5,"Qualified: high intent",IF(AB54&gt;=Settings!$B$6,"Qualified: nurture","Development pathway")))))</f>
        <v/>
      </c>
      <c r="AD54" s="32"/>
    </row>
    <row r="55" customFormat="false" ht="15" hidden="false" customHeight="false" outlineLevel="0" collapsed="false">
      <c r="A55" s="29"/>
      <c r="B55" s="29"/>
      <c r="C55" s="29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1" t="str">
        <f aca="false">IF($A55="","",IF(COUNTIF(F55:I55,"Yes")=4,"Pass","Fail"))</f>
        <v/>
      </c>
      <c r="Z55" s="31" t="str">
        <f aca="false">IF($A55="","",IF(AND(IFERROR(MATCH(J55,Settings!$A$10:$A$14,0),0)&gt;=MATCH(Settings!$B$4,Settings!$A$10:$A$14,0),K55="Yes",L55="Yes"),"Pass","Fail"))</f>
        <v/>
      </c>
      <c r="AA55" s="31" t="str">
        <f aca="false">IF($A55="","",IF(COUNTIF(M55:P55,"Yes")=4,"Pass","Fail"))</f>
        <v/>
      </c>
      <c r="AB55" s="31" t="str">
        <f aca="false">IF($A55="","",SUM(Q55:U55))</f>
        <v/>
      </c>
      <c r="AC55" s="31" t="str">
        <f aca="false">IF($A55="","",IF(OR(Y55="Fail",X55="Yes",V55&lt;&gt;"Yes"),"Not a fit",IF(OR(Z55="Fail",AA55="Fail"),"Development pathway",IF(AB55&gt;=Settings!$B$5,"Qualified: high intent",IF(AB55&gt;=Settings!$B$6,"Qualified: nurture","Development pathway")))))</f>
        <v/>
      </c>
      <c r="AD55" s="32"/>
    </row>
    <row r="56" customFormat="false" ht="15" hidden="false" customHeight="false" outlineLevel="0" collapsed="false">
      <c r="A56" s="29"/>
      <c r="B56" s="29"/>
      <c r="C56" s="29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1" t="str">
        <f aca="false">IF($A56="","",IF(COUNTIF(F56:I56,"Yes")=4,"Pass","Fail"))</f>
        <v/>
      </c>
      <c r="Z56" s="31" t="str">
        <f aca="false">IF($A56="","",IF(AND(IFERROR(MATCH(J56,Settings!$A$10:$A$14,0),0)&gt;=MATCH(Settings!$B$4,Settings!$A$10:$A$14,0),K56="Yes",L56="Yes"),"Pass","Fail"))</f>
        <v/>
      </c>
      <c r="AA56" s="31" t="str">
        <f aca="false">IF($A56="","",IF(COUNTIF(M56:P56,"Yes")=4,"Pass","Fail"))</f>
        <v/>
      </c>
      <c r="AB56" s="31" t="str">
        <f aca="false">IF($A56="","",SUM(Q56:U56))</f>
        <v/>
      </c>
      <c r="AC56" s="31" t="str">
        <f aca="false">IF($A56="","",IF(OR(Y56="Fail",X56="Yes",V56&lt;&gt;"Yes"),"Not a fit",IF(OR(Z56="Fail",AA56="Fail"),"Development pathway",IF(AB56&gt;=Settings!$B$5,"Qualified: high intent",IF(AB56&gt;=Settings!$B$6,"Qualified: nurture","Development pathway")))))</f>
        <v/>
      </c>
      <c r="AD56" s="32"/>
    </row>
    <row r="57" customFormat="false" ht="15" hidden="false" customHeight="false" outlineLevel="0" collapsed="false">
      <c r="A57" s="29"/>
      <c r="B57" s="29"/>
      <c r="C57" s="29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1" t="str">
        <f aca="false">IF($A57="","",IF(COUNTIF(F57:I57,"Yes")=4,"Pass","Fail"))</f>
        <v/>
      </c>
      <c r="Z57" s="31" t="str">
        <f aca="false">IF($A57="","",IF(AND(IFERROR(MATCH(J57,Settings!$A$10:$A$14,0),0)&gt;=MATCH(Settings!$B$4,Settings!$A$10:$A$14,0),K57="Yes",L57="Yes"),"Pass","Fail"))</f>
        <v/>
      </c>
      <c r="AA57" s="31" t="str">
        <f aca="false">IF($A57="","",IF(COUNTIF(M57:P57,"Yes")=4,"Pass","Fail"))</f>
        <v/>
      </c>
      <c r="AB57" s="31" t="str">
        <f aca="false">IF($A57="","",SUM(Q57:U57))</f>
        <v/>
      </c>
      <c r="AC57" s="31" t="str">
        <f aca="false">IF($A57="","",IF(OR(Y57="Fail",X57="Yes",V57&lt;&gt;"Yes"),"Not a fit",IF(OR(Z57="Fail",AA57="Fail"),"Development pathway",IF(AB57&gt;=Settings!$B$5,"Qualified: high intent",IF(AB57&gt;=Settings!$B$6,"Qualified: nurture","Development pathway")))))</f>
        <v/>
      </c>
      <c r="AD57" s="32"/>
    </row>
    <row r="58" customFormat="false" ht="15" hidden="false" customHeight="false" outlineLevel="0" collapsed="false">
      <c r="A58" s="29"/>
      <c r="B58" s="29"/>
      <c r="C58" s="29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1" t="str">
        <f aca="false">IF($A58="","",IF(COUNTIF(F58:I58,"Yes")=4,"Pass","Fail"))</f>
        <v/>
      </c>
      <c r="Z58" s="31" t="str">
        <f aca="false">IF($A58="","",IF(AND(IFERROR(MATCH(J58,Settings!$A$10:$A$14,0),0)&gt;=MATCH(Settings!$B$4,Settings!$A$10:$A$14,0),K58="Yes",L58="Yes"),"Pass","Fail"))</f>
        <v/>
      </c>
      <c r="AA58" s="31" t="str">
        <f aca="false">IF($A58="","",IF(COUNTIF(M58:P58,"Yes")=4,"Pass","Fail"))</f>
        <v/>
      </c>
      <c r="AB58" s="31" t="str">
        <f aca="false">IF($A58="","",SUM(Q58:U58))</f>
        <v/>
      </c>
      <c r="AC58" s="31" t="str">
        <f aca="false">IF($A58="","",IF(OR(Y58="Fail",X58="Yes",V58&lt;&gt;"Yes"),"Not a fit",IF(OR(Z58="Fail",AA58="Fail"),"Development pathway",IF(AB58&gt;=Settings!$B$5,"Qualified: high intent",IF(AB58&gt;=Settings!$B$6,"Qualified: nurture","Development pathway")))))</f>
        <v/>
      </c>
      <c r="AD58" s="32"/>
    </row>
    <row r="59" customFormat="false" ht="15" hidden="false" customHeight="false" outlineLevel="0" collapsed="false">
      <c r="A59" s="29"/>
      <c r="B59" s="29"/>
      <c r="C59" s="29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1" t="str">
        <f aca="false">IF($A59="","",IF(COUNTIF(F59:I59,"Yes")=4,"Pass","Fail"))</f>
        <v/>
      </c>
      <c r="Z59" s="31" t="str">
        <f aca="false">IF($A59="","",IF(AND(IFERROR(MATCH(J59,Settings!$A$10:$A$14,0),0)&gt;=MATCH(Settings!$B$4,Settings!$A$10:$A$14,0),K59="Yes",L59="Yes"),"Pass","Fail"))</f>
        <v/>
      </c>
      <c r="AA59" s="31" t="str">
        <f aca="false">IF($A59="","",IF(COUNTIF(M59:P59,"Yes")=4,"Pass","Fail"))</f>
        <v/>
      </c>
      <c r="AB59" s="31" t="str">
        <f aca="false">IF($A59="","",SUM(Q59:U59))</f>
        <v/>
      </c>
      <c r="AC59" s="31" t="str">
        <f aca="false">IF($A59="","",IF(OR(Y59="Fail",X59="Yes",V59&lt;&gt;"Yes"),"Not a fit",IF(OR(Z59="Fail",AA59="Fail"),"Development pathway",IF(AB59&gt;=Settings!$B$5,"Qualified: high intent",IF(AB59&gt;=Settings!$B$6,"Qualified: nurture","Development pathway")))))</f>
        <v/>
      </c>
      <c r="AD59" s="32"/>
    </row>
    <row r="60" customFormat="false" ht="15" hidden="false" customHeight="false" outlineLevel="0" collapsed="false">
      <c r="A60" s="29"/>
      <c r="B60" s="29"/>
      <c r="C60" s="29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1" t="str">
        <f aca="false">IF($A60="","",IF(COUNTIF(F60:I60,"Yes")=4,"Pass","Fail"))</f>
        <v/>
      </c>
      <c r="Z60" s="31" t="str">
        <f aca="false">IF($A60="","",IF(AND(IFERROR(MATCH(J60,Settings!$A$10:$A$14,0),0)&gt;=MATCH(Settings!$B$4,Settings!$A$10:$A$14,0),K60="Yes",L60="Yes"),"Pass","Fail"))</f>
        <v/>
      </c>
      <c r="AA60" s="31" t="str">
        <f aca="false">IF($A60="","",IF(COUNTIF(M60:P60,"Yes")=4,"Pass","Fail"))</f>
        <v/>
      </c>
      <c r="AB60" s="31" t="str">
        <f aca="false">IF($A60="","",SUM(Q60:U60))</f>
        <v/>
      </c>
      <c r="AC60" s="31" t="str">
        <f aca="false">IF($A60="","",IF(OR(Y60="Fail",X60="Yes",V60&lt;&gt;"Yes"),"Not a fit",IF(OR(Z60="Fail",AA60="Fail"),"Development pathway",IF(AB60&gt;=Settings!$B$5,"Qualified: high intent",IF(AB60&gt;=Settings!$B$6,"Qualified: nurture","Development pathway")))))</f>
        <v/>
      </c>
      <c r="AD60" s="32"/>
    </row>
    <row r="61" customFormat="false" ht="15" hidden="false" customHeight="false" outlineLevel="0" collapsed="false">
      <c r="A61" s="29"/>
      <c r="B61" s="29"/>
      <c r="C61" s="29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1" t="str">
        <f aca="false">IF($A61="","",IF(COUNTIF(F61:I61,"Yes")=4,"Pass","Fail"))</f>
        <v/>
      </c>
      <c r="Z61" s="31" t="str">
        <f aca="false">IF($A61="","",IF(AND(IFERROR(MATCH(J61,Settings!$A$10:$A$14,0),0)&gt;=MATCH(Settings!$B$4,Settings!$A$10:$A$14,0),K61="Yes",L61="Yes"),"Pass","Fail"))</f>
        <v/>
      </c>
      <c r="AA61" s="31" t="str">
        <f aca="false">IF($A61="","",IF(COUNTIF(M61:P61,"Yes")=4,"Pass","Fail"))</f>
        <v/>
      </c>
      <c r="AB61" s="31" t="str">
        <f aca="false">IF($A61="","",SUM(Q61:U61))</f>
        <v/>
      </c>
      <c r="AC61" s="31" t="str">
        <f aca="false">IF($A61="","",IF(OR(Y61="Fail",X61="Yes",V61&lt;&gt;"Yes"),"Not a fit",IF(OR(Z61="Fail",AA61="Fail"),"Development pathway",IF(AB61&gt;=Settings!$B$5,"Qualified: high intent",IF(AB61&gt;=Settings!$B$6,"Qualified: nurture","Development pathway")))))</f>
        <v/>
      </c>
      <c r="AD61" s="32"/>
    </row>
    <row r="62" customFormat="false" ht="15" hidden="false" customHeight="false" outlineLevel="0" collapsed="false">
      <c r="A62" s="29"/>
      <c r="B62" s="29"/>
      <c r="C62" s="29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1" t="str">
        <f aca="false">IF($A62="","",IF(COUNTIF(F62:I62,"Yes")=4,"Pass","Fail"))</f>
        <v/>
      </c>
      <c r="Z62" s="31" t="str">
        <f aca="false">IF($A62="","",IF(AND(IFERROR(MATCH(J62,Settings!$A$10:$A$14,0),0)&gt;=MATCH(Settings!$B$4,Settings!$A$10:$A$14,0),K62="Yes",L62="Yes"),"Pass","Fail"))</f>
        <v/>
      </c>
      <c r="AA62" s="31" t="str">
        <f aca="false">IF($A62="","",IF(COUNTIF(M62:P62,"Yes")=4,"Pass","Fail"))</f>
        <v/>
      </c>
      <c r="AB62" s="31" t="str">
        <f aca="false">IF($A62="","",SUM(Q62:U62))</f>
        <v/>
      </c>
      <c r="AC62" s="31" t="str">
        <f aca="false">IF($A62="","",IF(OR(Y62="Fail",X62="Yes",V62&lt;&gt;"Yes"),"Not a fit",IF(OR(Z62="Fail",AA62="Fail"),"Development pathway",IF(AB62&gt;=Settings!$B$5,"Qualified: high intent",IF(AB62&gt;=Settings!$B$6,"Qualified: nurture","Development pathway")))))</f>
        <v/>
      </c>
      <c r="AD62" s="32"/>
    </row>
    <row r="63" customFormat="false" ht="15" hidden="false" customHeight="false" outlineLevel="0" collapsed="false">
      <c r="A63" s="29"/>
      <c r="B63" s="29"/>
      <c r="C63" s="29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1" t="str">
        <f aca="false">IF($A63="","",IF(COUNTIF(F63:I63,"Yes")=4,"Pass","Fail"))</f>
        <v/>
      </c>
      <c r="Z63" s="31" t="str">
        <f aca="false">IF($A63="","",IF(AND(IFERROR(MATCH(J63,Settings!$A$10:$A$14,0),0)&gt;=MATCH(Settings!$B$4,Settings!$A$10:$A$14,0),K63="Yes",L63="Yes"),"Pass","Fail"))</f>
        <v/>
      </c>
      <c r="AA63" s="31" t="str">
        <f aca="false">IF($A63="","",IF(COUNTIF(M63:P63,"Yes")=4,"Pass","Fail"))</f>
        <v/>
      </c>
      <c r="AB63" s="31" t="str">
        <f aca="false">IF($A63="","",SUM(Q63:U63))</f>
        <v/>
      </c>
      <c r="AC63" s="31" t="str">
        <f aca="false">IF($A63="","",IF(OR(Y63="Fail",X63="Yes",V63&lt;&gt;"Yes"),"Not a fit",IF(OR(Z63="Fail",AA63="Fail"),"Development pathway",IF(AB63&gt;=Settings!$B$5,"Qualified: high intent",IF(AB63&gt;=Settings!$B$6,"Qualified: nurture","Development pathway")))))</f>
        <v/>
      </c>
      <c r="AD63" s="32"/>
    </row>
    <row r="64" customFormat="false" ht="15" hidden="false" customHeight="false" outlineLevel="0" collapsed="false">
      <c r="A64" s="29"/>
      <c r="B64" s="29"/>
      <c r="C64" s="29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1" t="str">
        <f aca="false">IF($A64="","",IF(COUNTIF(F64:I64,"Yes")=4,"Pass","Fail"))</f>
        <v/>
      </c>
      <c r="Z64" s="31" t="str">
        <f aca="false">IF($A64="","",IF(AND(IFERROR(MATCH(J64,Settings!$A$10:$A$14,0),0)&gt;=MATCH(Settings!$B$4,Settings!$A$10:$A$14,0),K64="Yes",L64="Yes"),"Pass","Fail"))</f>
        <v/>
      </c>
      <c r="AA64" s="31" t="str">
        <f aca="false">IF($A64="","",IF(COUNTIF(M64:P64,"Yes")=4,"Pass","Fail"))</f>
        <v/>
      </c>
      <c r="AB64" s="31" t="str">
        <f aca="false">IF($A64="","",SUM(Q64:U64))</f>
        <v/>
      </c>
      <c r="AC64" s="31" t="str">
        <f aca="false">IF($A64="","",IF(OR(Y64="Fail",X64="Yes",V64&lt;&gt;"Yes"),"Not a fit",IF(OR(Z64="Fail",AA64="Fail"),"Development pathway",IF(AB64&gt;=Settings!$B$5,"Qualified: high intent",IF(AB64&gt;=Settings!$B$6,"Qualified: nurture","Development pathway")))))</f>
        <v/>
      </c>
      <c r="AD64" s="32"/>
    </row>
    <row r="65" customFormat="false" ht="15" hidden="false" customHeight="false" outlineLevel="0" collapsed="false">
      <c r="A65" s="29"/>
      <c r="B65" s="29"/>
      <c r="C65" s="29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1" t="str">
        <f aca="false">IF($A65="","",IF(COUNTIF(F65:I65,"Yes")=4,"Pass","Fail"))</f>
        <v/>
      </c>
      <c r="Z65" s="31" t="str">
        <f aca="false">IF($A65="","",IF(AND(IFERROR(MATCH(J65,Settings!$A$10:$A$14,0),0)&gt;=MATCH(Settings!$B$4,Settings!$A$10:$A$14,0),K65="Yes",L65="Yes"),"Pass","Fail"))</f>
        <v/>
      </c>
      <c r="AA65" s="31" t="str">
        <f aca="false">IF($A65="","",IF(COUNTIF(M65:P65,"Yes")=4,"Pass","Fail"))</f>
        <v/>
      </c>
      <c r="AB65" s="31" t="str">
        <f aca="false">IF($A65="","",SUM(Q65:U65))</f>
        <v/>
      </c>
      <c r="AC65" s="31" t="str">
        <f aca="false">IF($A65="","",IF(OR(Y65="Fail",X65="Yes",V65&lt;&gt;"Yes"),"Not a fit",IF(OR(Z65="Fail",AA65="Fail"),"Development pathway",IF(AB65&gt;=Settings!$B$5,"Qualified: high intent",IF(AB65&gt;=Settings!$B$6,"Qualified: nurture","Development pathway")))))</f>
        <v/>
      </c>
      <c r="AD65" s="32"/>
    </row>
    <row r="66" customFormat="false" ht="15" hidden="false" customHeight="false" outlineLevel="0" collapsed="false">
      <c r="A66" s="29"/>
      <c r="B66" s="29"/>
      <c r="C66" s="29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1" t="str">
        <f aca="false">IF($A66="","",IF(COUNTIF(F66:I66,"Yes")=4,"Pass","Fail"))</f>
        <v/>
      </c>
      <c r="Z66" s="31" t="str">
        <f aca="false">IF($A66="","",IF(AND(IFERROR(MATCH(J66,Settings!$A$10:$A$14,0),0)&gt;=MATCH(Settings!$B$4,Settings!$A$10:$A$14,0),K66="Yes",L66="Yes"),"Pass","Fail"))</f>
        <v/>
      </c>
      <c r="AA66" s="31" t="str">
        <f aca="false">IF($A66="","",IF(COUNTIF(M66:P66,"Yes")=4,"Pass","Fail"))</f>
        <v/>
      </c>
      <c r="AB66" s="31" t="str">
        <f aca="false">IF($A66="","",SUM(Q66:U66))</f>
        <v/>
      </c>
      <c r="AC66" s="31" t="str">
        <f aca="false">IF($A66="","",IF(OR(Y66="Fail",X66="Yes",V66&lt;&gt;"Yes"),"Not a fit",IF(OR(Z66="Fail",AA66="Fail"),"Development pathway",IF(AB66&gt;=Settings!$B$5,"Qualified: high intent",IF(AB66&gt;=Settings!$B$6,"Qualified: nurture","Development pathway")))))</f>
        <v/>
      </c>
      <c r="AD66" s="32"/>
    </row>
    <row r="67" customFormat="false" ht="15" hidden="false" customHeight="false" outlineLevel="0" collapsed="false">
      <c r="A67" s="29"/>
      <c r="B67" s="29"/>
      <c r="C67" s="29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1" t="str">
        <f aca="false">IF($A67="","",IF(COUNTIF(F67:I67,"Yes")=4,"Pass","Fail"))</f>
        <v/>
      </c>
      <c r="Z67" s="31" t="str">
        <f aca="false">IF($A67="","",IF(AND(IFERROR(MATCH(J67,Settings!$A$10:$A$14,0),0)&gt;=MATCH(Settings!$B$4,Settings!$A$10:$A$14,0),K67="Yes",L67="Yes"),"Pass","Fail"))</f>
        <v/>
      </c>
      <c r="AA67" s="31" t="str">
        <f aca="false">IF($A67="","",IF(COUNTIF(M67:P67,"Yes")=4,"Pass","Fail"))</f>
        <v/>
      </c>
      <c r="AB67" s="31" t="str">
        <f aca="false">IF($A67="","",SUM(Q67:U67))</f>
        <v/>
      </c>
      <c r="AC67" s="31" t="str">
        <f aca="false">IF($A67="","",IF(OR(Y67="Fail",X67="Yes",V67&lt;&gt;"Yes"),"Not a fit",IF(OR(Z67="Fail",AA67="Fail"),"Development pathway",IF(AB67&gt;=Settings!$B$5,"Qualified: high intent",IF(AB67&gt;=Settings!$B$6,"Qualified: nurture","Development pathway")))))</f>
        <v/>
      </c>
      <c r="AD67" s="32"/>
    </row>
    <row r="68" customFormat="false" ht="15" hidden="false" customHeight="false" outlineLevel="0" collapsed="false">
      <c r="A68" s="29"/>
      <c r="B68" s="29"/>
      <c r="C68" s="29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1" t="str">
        <f aca="false">IF($A68="","",IF(COUNTIF(F68:I68,"Yes")=4,"Pass","Fail"))</f>
        <v/>
      </c>
      <c r="Z68" s="31" t="str">
        <f aca="false">IF($A68="","",IF(AND(IFERROR(MATCH(J68,Settings!$A$10:$A$14,0),0)&gt;=MATCH(Settings!$B$4,Settings!$A$10:$A$14,0),K68="Yes",L68="Yes"),"Pass","Fail"))</f>
        <v/>
      </c>
      <c r="AA68" s="31" t="str">
        <f aca="false">IF($A68="","",IF(COUNTIF(M68:P68,"Yes")=4,"Pass","Fail"))</f>
        <v/>
      </c>
      <c r="AB68" s="31" t="str">
        <f aca="false">IF($A68="","",SUM(Q68:U68))</f>
        <v/>
      </c>
      <c r="AC68" s="31" t="str">
        <f aca="false">IF($A68="","",IF(OR(Y68="Fail",X68="Yes",V68&lt;&gt;"Yes"),"Not a fit",IF(OR(Z68="Fail",AA68="Fail"),"Development pathway",IF(AB68&gt;=Settings!$B$5,"Qualified: high intent",IF(AB68&gt;=Settings!$B$6,"Qualified: nurture","Development pathway")))))</f>
        <v/>
      </c>
      <c r="AD68" s="32"/>
    </row>
    <row r="69" customFormat="false" ht="15" hidden="false" customHeight="false" outlineLevel="0" collapsed="false">
      <c r="A69" s="29"/>
      <c r="B69" s="29"/>
      <c r="C69" s="29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1" t="str">
        <f aca="false">IF($A69="","",IF(COUNTIF(F69:I69,"Yes")=4,"Pass","Fail"))</f>
        <v/>
      </c>
      <c r="Z69" s="31" t="str">
        <f aca="false">IF($A69="","",IF(AND(IFERROR(MATCH(J69,Settings!$A$10:$A$14,0),0)&gt;=MATCH(Settings!$B$4,Settings!$A$10:$A$14,0),K69="Yes",L69="Yes"),"Pass","Fail"))</f>
        <v/>
      </c>
      <c r="AA69" s="31" t="str">
        <f aca="false">IF($A69="","",IF(COUNTIF(M69:P69,"Yes")=4,"Pass","Fail"))</f>
        <v/>
      </c>
      <c r="AB69" s="31" t="str">
        <f aca="false">IF($A69="","",SUM(Q69:U69))</f>
        <v/>
      </c>
      <c r="AC69" s="31" t="str">
        <f aca="false">IF($A69="","",IF(OR(Y69="Fail",X69="Yes",V69&lt;&gt;"Yes"),"Not a fit",IF(OR(Z69="Fail",AA69="Fail"),"Development pathway",IF(AB69&gt;=Settings!$B$5,"Qualified: high intent",IF(AB69&gt;=Settings!$B$6,"Qualified: nurture","Development pathway")))))</f>
        <v/>
      </c>
      <c r="AD69" s="32"/>
    </row>
    <row r="70" customFormat="false" ht="15" hidden="false" customHeight="false" outlineLevel="0" collapsed="false">
      <c r="A70" s="29"/>
      <c r="B70" s="29"/>
      <c r="C70" s="29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1" t="str">
        <f aca="false">IF($A70="","",IF(COUNTIF(F70:I70,"Yes")=4,"Pass","Fail"))</f>
        <v/>
      </c>
      <c r="Z70" s="31" t="str">
        <f aca="false">IF($A70="","",IF(AND(IFERROR(MATCH(J70,Settings!$A$10:$A$14,0),0)&gt;=MATCH(Settings!$B$4,Settings!$A$10:$A$14,0),K70="Yes",L70="Yes"),"Pass","Fail"))</f>
        <v/>
      </c>
      <c r="AA70" s="31" t="str">
        <f aca="false">IF($A70="","",IF(COUNTIF(M70:P70,"Yes")=4,"Pass","Fail"))</f>
        <v/>
      </c>
      <c r="AB70" s="31" t="str">
        <f aca="false">IF($A70="","",SUM(Q70:U70))</f>
        <v/>
      </c>
      <c r="AC70" s="31" t="str">
        <f aca="false">IF($A70="","",IF(OR(Y70="Fail",X70="Yes",V70&lt;&gt;"Yes"),"Not a fit",IF(OR(Z70="Fail",AA70="Fail"),"Development pathway",IF(AB70&gt;=Settings!$B$5,"Qualified: high intent",IF(AB70&gt;=Settings!$B$6,"Qualified: nurture","Development pathway")))))</f>
        <v/>
      </c>
      <c r="AD70" s="32"/>
    </row>
    <row r="71" customFormat="false" ht="15" hidden="false" customHeight="false" outlineLevel="0" collapsed="false">
      <c r="A71" s="29"/>
      <c r="B71" s="29"/>
      <c r="C71" s="29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1" t="str">
        <f aca="false">IF($A71="","",IF(COUNTIF(F71:I71,"Yes")=4,"Pass","Fail"))</f>
        <v/>
      </c>
      <c r="Z71" s="31" t="str">
        <f aca="false">IF($A71="","",IF(AND(IFERROR(MATCH(J71,Settings!$A$10:$A$14,0),0)&gt;=MATCH(Settings!$B$4,Settings!$A$10:$A$14,0),K71="Yes",L71="Yes"),"Pass","Fail"))</f>
        <v/>
      </c>
      <c r="AA71" s="31" t="str">
        <f aca="false">IF($A71="","",IF(COUNTIF(M71:P71,"Yes")=4,"Pass","Fail"))</f>
        <v/>
      </c>
      <c r="AB71" s="31" t="str">
        <f aca="false">IF($A71="","",SUM(Q71:U71))</f>
        <v/>
      </c>
      <c r="AC71" s="31" t="str">
        <f aca="false">IF($A71="","",IF(OR(Y71="Fail",X71="Yes",V71&lt;&gt;"Yes"),"Not a fit",IF(OR(Z71="Fail",AA71="Fail"),"Development pathway",IF(AB71&gt;=Settings!$B$5,"Qualified: high intent",IF(AB71&gt;=Settings!$B$6,"Qualified: nurture","Development pathway")))))</f>
        <v/>
      </c>
      <c r="AD71" s="32"/>
    </row>
    <row r="72" customFormat="false" ht="15" hidden="false" customHeight="false" outlineLevel="0" collapsed="false">
      <c r="A72" s="29"/>
      <c r="B72" s="29"/>
      <c r="C72" s="29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1" t="str">
        <f aca="false">IF($A72="","",IF(COUNTIF(F72:I72,"Yes")=4,"Pass","Fail"))</f>
        <v/>
      </c>
      <c r="Z72" s="31" t="str">
        <f aca="false">IF($A72="","",IF(AND(IFERROR(MATCH(J72,Settings!$A$10:$A$14,0),0)&gt;=MATCH(Settings!$B$4,Settings!$A$10:$A$14,0),K72="Yes",L72="Yes"),"Pass","Fail"))</f>
        <v/>
      </c>
      <c r="AA72" s="31" t="str">
        <f aca="false">IF($A72="","",IF(COUNTIF(M72:P72,"Yes")=4,"Pass","Fail"))</f>
        <v/>
      </c>
      <c r="AB72" s="31" t="str">
        <f aca="false">IF($A72="","",SUM(Q72:U72))</f>
        <v/>
      </c>
      <c r="AC72" s="31" t="str">
        <f aca="false">IF($A72="","",IF(OR(Y72="Fail",X72="Yes",V72&lt;&gt;"Yes"),"Not a fit",IF(OR(Z72="Fail",AA72="Fail"),"Development pathway",IF(AB72&gt;=Settings!$B$5,"Qualified: high intent",IF(AB72&gt;=Settings!$B$6,"Qualified: nurture","Development pathway")))))</f>
        <v/>
      </c>
      <c r="AD72" s="32"/>
    </row>
    <row r="73" customFormat="false" ht="15" hidden="false" customHeight="false" outlineLevel="0" collapsed="false">
      <c r="A73" s="29"/>
      <c r="B73" s="29"/>
      <c r="C73" s="29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1" t="str">
        <f aca="false">IF($A73="","",IF(COUNTIF(F73:I73,"Yes")=4,"Pass","Fail"))</f>
        <v/>
      </c>
      <c r="Z73" s="31" t="str">
        <f aca="false">IF($A73="","",IF(AND(IFERROR(MATCH(J73,Settings!$A$10:$A$14,0),0)&gt;=MATCH(Settings!$B$4,Settings!$A$10:$A$14,0),K73="Yes",L73="Yes"),"Pass","Fail"))</f>
        <v/>
      </c>
      <c r="AA73" s="31" t="str">
        <f aca="false">IF($A73="","",IF(COUNTIF(M73:P73,"Yes")=4,"Pass","Fail"))</f>
        <v/>
      </c>
      <c r="AB73" s="31" t="str">
        <f aca="false">IF($A73="","",SUM(Q73:U73))</f>
        <v/>
      </c>
      <c r="AC73" s="31" t="str">
        <f aca="false">IF($A73="","",IF(OR(Y73="Fail",X73="Yes",V73&lt;&gt;"Yes"),"Not a fit",IF(OR(Z73="Fail",AA73="Fail"),"Development pathway",IF(AB73&gt;=Settings!$B$5,"Qualified: high intent",IF(AB73&gt;=Settings!$B$6,"Qualified: nurture","Development pathway")))))</f>
        <v/>
      </c>
      <c r="AD73" s="32"/>
    </row>
    <row r="74" customFormat="false" ht="15" hidden="false" customHeight="false" outlineLevel="0" collapsed="false">
      <c r="A74" s="29"/>
      <c r="B74" s="29"/>
      <c r="C74" s="29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1" t="str">
        <f aca="false">IF($A74="","",IF(COUNTIF(F74:I74,"Yes")=4,"Pass","Fail"))</f>
        <v/>
      </c>
      <c r="Z74" s="31" t="str">
        <f aca="false">IF($A74="","",IF(AND(IFERROR(MATCH(J74,Settings!$A$10:$A$14,0),0)&gt;=MATCH(Settings!$B$4,Settings!$A$10:$A$14,0),K74="Yes",L74="Yes"),"Pass","Fail"))</f>
        <v/>
      </c>
      <c r="AA74" s="31" t="str">
        <f aca="false">IF($A74="","",IF(COUNTIF(M74:P74,"Yes")=4,"Pass","Fail"))</f>
        <v/>
      </c>
      <c r="AB74" s="31" t="str">
        <f aca="false">IF($A74="","",SUM(Q74:U74))</f>
        <v/>
      </c>
      <c r="AC74" s="31" t="str">
        <f aca="false">IF($A74="","",IF(OR(Y74="Fail",X74="Yes",V74&lt;&gt;"Yes"),"Not a fit",IF(OR(Z74="Fail",AA74="Fail"),"Development pathway",IF(AB74&gt;=Settings!$B$5,"Qualified: high intent",IF(AB74&gt;=Settings!$B$6,"Qualified: nurture","Development pathway")))))</f>
        <v/>
      </c>
      <c r="AD74" s="32"/>
    </row>
    <row r="75" customFormat="false" ht="15" hidden="false" customHeight="false" outlineLevel="0" collapsed="false">
      <c r="A75" s="29"/>
      <c r="B75" s="29"/>
      <c r="C75" s="29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1" t="str">
        <f aca="false">IF($A75="","",IF(COUNTIF(F75:I75,"Yes")=4,"Pass","Fail"))</f>
        <v/>
      </c>
      <c r="Z75" s="31" t="str">
        <f aca="false">IF($A75="","",IF(AND(IFERROR(MATCH(J75,Settings!$A$10:$A$14,0),0)&gt;=MATCH(Settings!$B$4,Settings!$A$10:$A$14,0),K75="Yes",L75="Yes"),"Pass","Fail"))</f>
        <v/>
      </c>
      <c r="AA75" s="31" t="str">
        <f aca="false">IF($A75="","",IF(COUNTIF(M75:P75,"Yes")=4,"Pass","Fail"))</f>
        <v/>
      </c>
      <c r="AB75" s="31" t="str">
        <f aca="false">IF($A75="","",SUM(Q75:U75))</f>
        <v/>
      </c>
      <c r="AC75" s="31" t="str">
        <f aca="false">IF($A75="","",IF(OR(Y75="Fail",X75="Yes",V75&lt;&gt;"Yes"),"Not a fit",IF(OR(Z75="Fail",AA75="Fail"),"Development pathway",IF(AB75&gt;=Settings!$B$5,"Qualified: high intent",IF(AB75&gt;=Settings!$B$6,"Qualified: nurture","Development pathway")))))</f>
        <v/>
      </c>
      <c r="AD75" s="32"/>
    </row>
    <row r="76" customFormat="false" ht="15" hidden="false" customHeight="false" outlineLevel="0" collapsed="false">
      <c r="A76" s="29"/>
      <c r="B76" s="29"/>
      <c r="C76" s="29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1" t="str">
        <f aca="false">IF($A76="","",IF(COUNTIF(F76:I76,"Yes")=4,"Pass","Fail"))</f>
        <v/>
      </c>
      <c r="Z76" s="31" t="str">
        <f aca="false">IF($A76="","",IF(AND(IFERROR(MATCH(J76,Settings!$A$10:$A$14,0),0)&gt;=MATCH(Settings!$B$4,Settings!$A$10:$A$14,0),K76="Yes",L76="Yes"),"Pass","Fail"))</f>
        <v/>
      </c>
      <c r="AA76" s="31" t="str">
        <f aca="false">IF($A76="","",IF(COUNTIF(M76:P76,"Yes")=4,"Pass","Fail"))</f>
        <v/>
      </c>
      <c r="AB76" s="31" t="str">
        <f aca="false">IF($A76="","",SUM(Q76:U76))</f>
        <v/>
      </c>
      <c r="AC76" s="31" t="str">
        <f aca="false">IF($A76="","",IF(OR(Y76="Fail",X76="Yes",V76&lt;&gt;"Yes"),"Not a fit",IF(OR(Z76="Fail",AA76="Fail"),"Development pathway",IF(AB76&gt;=Settings!$B$5,"Qualified: high intent",IF(AB76&gt;=Settings!$B$6,"Qualified: nurture","Development pathway")))))</f>
        <v/>
      </c>
      <c r="AD76" s="32"/>
    </row>
    <row r="77" customFormat="false" ht="15" hidden="false" customHeight="false" outlineLevel="0" collapsed="false">
      <c r="A77" s="29"/>
      <c r="B77" s="29"/>
      <c r="C77" s="29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1" t="str">
        <f aca="false">IF($A77="","",IF(COUNTIF(F77:I77,"Yes")=4,"Pass","Fail"))</f>
        <v/>
      </c>
      <c r="Z77" s="31" t="str">
        <f aca="false">IF($A77="","",IF(AND(IFERROR(MATCH(J77,Settings!$A$10:$A$14,0),0)&gt;=MATCH(Settings!$B$4,Settings!$A$10:$A$14,0),K77="Yes",L77="Yes"),"Pass","Fail"))</f>
        <v/>
      </c>
      <c r="AA77" s="31" t="str">
        <f aca="false">IF($A77="","",IF(COUNTIF(M77:P77,"Yes")=4,"Pass","Fail"))</f>
        <v/>
      </c>
      <c r="AB77" s="31" t="str">
        <f aca="false">IF($A77="","",SUM(Q77:U77))</f>
        <v/>
      </c>
      <c r="AC77" s="31" t="str">
        <f aca="false">IF($A77="","",IF(OR(Y77="Fail",X77="Yes",V77&lt;&gt;"Yes"),"Not a fit",IF(OR(Z77="Fail",AA77="Fail"),"Development pathway",IF(AB77&gt;=Settings!$B$5,"Qualified: high intent",IF(AB77&gt;=Settings!$B$6,"Qualified: nurture","Development pathway")))))</f>
        <v/>
      </c>
      <c r="AD77" s="32"/>
    </row>
    <row r="78" customFormat="false" ht="15" hidden="false" customHeight="false" outlineLevel="0" collapsed="false">
      <c r="A78" s="29"/>
      <c r="B78" s="29"/>
      <c r="C78" s="29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1" t="str">
        <f aca="false">IF($A78="","",IF(COUNTIF(F78:I78,"Yes")=4,"Pass","Fail"))</f>
        <v/>
      </c>
      <c r="Z78" s="31" t="str">
        <f aca="false">IF($A78="","",IF(AND(IFERROR(MATCH(J78,Settings!$A$10:$A$14,0),0)&gt;=MATCH(Settings!$B$4,Settings!$A$10:$A$14,0),K78="Yes",L78="Yes"),"Pass","Fail"))</f>
        <v/>
      </c>
      <c r="AA78" s="31" t="str">
        <f aca="false">IF($A78="","",IF(COUNTIF(M78:P78,"Yes")=4,"Pass","Fail"))</f>
        <v/>
      </c>
      <c r="AB78" s="31" t="str">
        <f aca="false">IF($A78="","",SUM(Q78:U78))</f>
        <v/>
      </c>
      <c r="AC78" s="31" t="str">
        <f aca="false">IF($A78="","",IF(OR(Y78="Fail",X78="Yes",V78&lt;&gt;"Yes"),"Not a fit",IF(OR(Z78="Fail",AA78="Fail"),"Development pathway",IF(AB78&gt;=Settings!$B$5,"Qualified: high intent",IF(AB78&gt;=Settings!$B$6,"Qualified: nurture","Development pathway")))))</f>
        <v/>
      </c>
      <c r="AD78" s="32"/>
    </row>
    <row r="79" customFormat="false" ht="15" hidden="false" customHeight="false" outlineLevel="0" collapsed="false">
      <c r="A79" s="29"/>
      <c r="B79" s="29"/>
      <c r="C79" s="29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1" t="str">
        <f aca="false">IF($A79="","",IF(COUNTIF(F79:I79,"Yes")=4,"Pass","Fail"))</f>
        <v/>
      </c>
      <c r="Z79" s="31" t="str">
        <f aca="false">IF($A79="","",IF(AND(IFERROR(MATCH(J79,Settings!$A$10:$A$14,0),0)&gt;=MATCH(Settings!$B$4,Settings!$A$10:$A$14,0),K79="Yes",L79="Yes"),"Pass","Fail"))</f>
        <v/>
      </c>
      <c r="AA79" s="31" t="str">
        <f aca="false">IF($A79="","",IF(COUNTIF(M79:P79,"Yes")=4,"Pass","Fail"))</f>
        <v/>
      </c>
      <c r="AB79" s="31" t="str">
        <f aca="false">IF($A79="","",SUM(Q79:U79))</f>
        <v/>
      </c>
      <c r="AC79" s="31" t="str">
        <f aca="false">IF($A79="","",IF(OR(Y79="Fail",X79="Yes",V79&lt;&gt;"Yes"),"Not a fit",IF(OR(Z79="Fail",AA79="Fail"),"Development pathway",IF(AB79&gt;=Settings!$B$5,"Qualified: high intent",IF(AB79&gt;=Settings!$B$6,"Qualified: nurture","Development pathway")))))</f>
        <v/>
      </c>
      <c r="AD79" s="32"/>
    </row>
    <row r="80" customFormat="false" ht="15" hidden="false" customHeight="false" outlineLevel="0" collapsed="false">
      <c r="A80" s="29"/>
      <c r="B80" s="29"/>
      <c r="C80" s="29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1" t="str">
        <f aca="false">IF($A80="","",IF(COUNTIF(F80:I80,"Yes")=4,"Pass","Fail"))</f>
        <v/>
      </c>
      <c r="Z80" s="31" t="str">
        <f aca="false">IF($A80="","",IF(AND(IFERROR(MATCH(J80,Settings!$A$10:$A$14,0),0)&gt;=MATCH(Settings!$B$4,Settings!$A$10:$A$14,0),K80="Yes",L80="Yes"),"Pass","Fail"))</f>
        <v/>
      </c>
      <c r="AA80" s="31" t="str">
        <f aca="false">IF($A80="","",IF(COUNTIF(M80:P80,"Yes")=4,"Pass","Fail"))</f>
        <v/>
      </c>
      <c r="AB80" s="31" t="str">
        <f aca="false">IF($A80="","",SUM(Q80:U80))</f>
        <v/>
      </c>
      <c r="AC80" s="31" t="str">
        <f aca="false">IF($A80="","",IF(OR(Y80="Fail",X80="Yes",V80&lt;&gt;"Yes"),"Not a fit",IF(OR(Z80="Fail",AA80="Fail"),"Development pathway",IF(AB80&gt;=Settings!$B$5,"Qualified: high intent",IF(AB80&gt;=Settings!$B$6,"Qualified: nurture","Development pathway")))))</f>
        <v/>
      </c>
      <c r="AD80" s="32"/>
    </row>
    <row r="81" customFormat="false" ht="15" hidden="false" customHeight="false" outlineLevel="0" collapsed="false">
      <c r="A81" s="29"/>
      <c r="B81" s="29"/>
      <c r="C81" s="29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1" t="str">
        <f aca="false">IF($A81="","",IF(COUNTIF(F81:I81,"Yes")=4,"Pass","Fail"))</f>
        <v/>
      </c>
      <c r="Z81" s="31" t="str">
        <f aca="false">IF($A81="","",IF(AND(IFERROR(MATCH(J81,Settings!$A$10:$A$14,0),0)&gt;=MATCH(Settings!$B$4,Settings!$A$10:$A$14,0),K81="Yes",L81="Yes"),"Pass","Fail"))</f>
        <v/>
      </c>
      <c r="AA81" s="31" t="str">
        <f aca="false">IF($A81="","",IF(COUNTIF(M81:P81,"Yes")=4,"Pass","Fail"))</f>
        <v/>
      </c>
      <c r="AB81" s="31" t="str">
        <f aca="false">IF($A81="","",SUM(Q81:U81))</f>
        <v/>
      </c>
      <c r="AC81" s="31" t="str">
        <f aca="false">IF($A81="","",IF(OR(Y81="Fail",X81="Yes",V81&lt;&gt;"Yes"),"Not a fit",IF(OR(Z81="Fail",AA81="Fail"),"Development pathway",IF(AB81&gt;=Settings!$B$5,"Qualified: high intent",IF(AB81&gt;=Settings!$B$6,"Qualified: nurture","Development pathway")))))</f>
        <v/>
      </c>
      <c r="AD81" s="32"/>
    </row>
    <row r="82" customFormat="false" ht="15" hidden="false" customHeight="false" outlineLevel="0" collapsed="false">
      <c r="A82" s="29"/>
      <c r="B82" s="29"/>
      <c r="C82" s="29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1" t="str">
        <f aca="false">IF($A82="","",IF(COUNTIF(F82:I82,"Yes")=4,"Pass","Fail"))</f>
        <v/>
      </c>
      <c r="Z82" s="31" t="str">
        <f aca="false">IF($A82="","",IF(AND(IFERROR(MATCH(J82,Settings!$A$10:$A$14,0),0)&gt;=MATCH(Settings!$B$4,Settings!$A$10:$A$14,0),K82="Yes",L82="Yes"),"Pass","Fail"))</f>
        <v/>
      </c>
      <c r="AA82" s="31" t="str">
        <f aca="false">IF($A82="","",IF(COUNTIF(M82:P82,"Yes")=4,"Pass","Fail"))</f>
        <v/>
      </c>
      <c r="AB82" s="31" t="str">
        <f aca="false">IF($A82="","",SUM(Q82:U82))</f>
        <v/>
      </c>
      <c r="AC82" s="31" t="str">
        <f aca="false">IF($A82="","",IF(OR(Y82="Fail",X82="Yes",V82&lt;&gt;"Yes"),"Not a fit",IF(OR(Z82="Fail",AA82="Fail"),"Development pathway",IF(AB82&gt;=Settings!$B$5,"Qualified: high intent",IF(AB82&gt;=Settings!$B$6,"Qualified: nurture","Development pathway")))))</f>
        <v/>
      </c>
      <c r="AD82" s="32"/>
    </row>
    <row r="83" customFormat="false" ht="15" hidden="false" customHeight="false" outlineLevel="0" collapsed="false">
      <c r="A83" s="29"/>
      <c r="B83" s="29"/>
      <c r="C83" s="29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1" t="str">
        <f aca="false">IF($A83="","",IF(COUNTIF(F83:I83,"Yes")=4,"Pass","Fail"))</f>
        <v/>
      </c>
      <c r="Z83" s="31" t="str">
        <f aca="false">IF($A83="","",IF(AND(IFERROR(MATCH(J83,Settings!$A$10:$A$14,0),0)&gt;=MATCH(Settings!$B$4,Settings!$A$10:$A$14,0),K83="Yes",L83="Yes"),"Pass","Fail"))</f>
        <v/>
      </c>
      <c r="AA83" s="31" t="str">
        <f aca="false">IF($A83="","",IF(COUNTIF(M83:P83,"Yes")=4,"Pass","Fail"))</f>
        <v/>
      </c>
      <c r="AB83" s="31" t="str">
        <f aca="false">IF($A83="","",SUM(Q83:U83))</f>
        <v/>
      </c>
      <c r="AC83" s="31" t="str">
        <f aca="false">IF($A83="","",IF(OR(Y83="Fail",X83="Yes",V83&lt;&gt;"Yes"),"Not a fit",IF(OR(Z83="Fail",AA83="Fail"),"Development pathway",IF(AB83&gt;=Settings!$B$5,"Qualified: high intent",IF(AB83&gt;=Settings!$B$6,"Qualified: nurture","Development pathway")))))</f>
        <v/>
      </c>
      <c r="AD83" s="32"/>
    </row>
    <row r="84" customFormat="false" ht="15" hidden="false" customHeight="false" outlineLevel="0" collapsed="false">
      <c r="A84" s="29"/>
      <c r="B84" s="29"/>
      <c r="C84" s="29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1" t="str">
        <f aca="false">IF($A84="","",IF(COUNTIF(F84:I84,"Yes")=4,"Pass","Fail"))</f>
        <v/>
      </c>
      <c r="Z84" s="31" t="str">
        <f aca="false">IF($A84="","",IF(AND(IFERROR(MATCH(J84,Settings!$A$10:$A$14,0),0)&gt;=MATCH(Settings!$B$4,Settings!$A$10:$A$14,0),K84="Yes",L84="Yes"),"Pass","Fail"))</f>
        <v/>
      </c>
      <c r="AA84" s="31" t="str">
        <f aca="false">IF($A84="","",IF(COUNTIF(M84:P84,"Yes")=4,"Pass","Fail"))</f>
        <v/>
      </c>
      <c r="AB84" s="31" t="str">
        <f aca="false">IF($A84="","",SUM(Q84:U84))</f>
        <v/>
      </c>
      <c r="AC84" s="31" t="str">
        <f aca="false">IF($A84="","",IF(OR(Y84="Fail",X84="Yes",V84&lt;&gt;"Yes"),"Not a fit",IF(OR(Z84="Fail",AA84="Fail"),"Development pathway",IF(AB84&gt;=Settings!$B$5,"Qualified: high intent",IF(AB84&gt;=Settings!$B$6,"Qualified: nurture","Development pathway")))))</f>
        <v/>
      </c>
      <c r="AD84" s="32"/>
    </row>
    <row r="85" customFormat="false" ht="15" hidden="false" customHeight="false" outlineLevel="0" collapsed="false">
      <c r="A85" s="29"/>
      <c r="B85" s="29"/>
      <c r="C85" s="29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1" t="str">
        <f aca="false">IF($A85="","",IF(COUNTIF(F85:I85,"Yes")=4,"Pass","Fail"))</f>
        <v/>
      </c>
      <c r="Z85" s="31" t="str">
        <f aca="false">IF($A85="","",IF(AND(IFERROR(MATCH(J85,Settings!$A$10:$A$14,0),0)&gt;=MATCH(Settings!$B$4,Settings!$A$10:$A$14,0),K85="Yes",L85="Yes"),"Pass","Fail"))</f>
        <v/>
      </c>
      <c r="AA85" s="31" t="str">
        <f aca="false">IF($A85="","",IF(COUNTIF(M85:P85,"Yes")=4,"Pass","Fail"))</f>
        <v/>
      </c>
      <c r="AB85" s="31" t="str">
        <f aca="false">IF($A85="","",SUM(Q85:U85))</f>
        <v/>
      </c>
      <c r="AC85" s="31" t="str">
        <f aca="false">IF($A85="","",IF(OR(Y85="Fail",X85="Yes",V85&lt;&gt;"Yes"),"Not a fit",IF(OR(Z85="Fail",AA85="Fail"),"Development pathway",IF(AB85&gt;=Settings!$B$5,"Qualified: high intent",IF(AB85&gt;=Settings!$B$6,"Qualified: nurture","Development pathway")))))</f>
        <v/>
      </c>
      <c r="AD85" s="32"/>
    </row>
    <row r="86" customFormat="false" ht="15" hidden="false" customHeight="false" outlineLevel="0" collapsed="false">
      <c r="A86" s="29"/>
      <c r="B86" s="29"/>
      <c r="C86" s="29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1" t="str">
        <f aca="false">IF($A86="","",IF(COUNTIF(F86:I86,"Yes")=4,"Pass","Fail"))</f>
        <v/>
      </c>
      <c r="Z86" s="31" t="str">
        <f aca="false">IF($A86="","",IF(AND(IFERROR(MATCH(J86,Settings!$A$10:$A$14,0),0)&gt;=MATCH(Settings!$B$4,Settings!$A$10:$A$14,0),K86="Yes",L86="Yes"),"Pass","Fail"))</f>
        <v/>
      </c>
      <c r="AA86" s="31" t="str">
        <f aca="false">IF($A86="","",IF(COUNTIF(M86:P86,"Yes")=4,"Pass","Fail"))</f>
        <v/>
      </c>
      <c r="AB86" s="31" t="str">
        <f aca="false">IF($A86="","",SUM(Q86:U86))</f>
        <v/>
      </c>
      <c r="AC86" s="31" t="str">
        <f aca="false">IF($A86="","",IF(OR(Y86="Fail",X86="Yes",V86&lt;&gt;"Yes"),"Not a fit",IF(OR(Z86="Fail",AA86="Fail"),"Development pathway",IF(AB86&gt;=Settings!$B$5,"Qualified: high intent",IF(AB86&gt;=Settings!$B$6,"Qualified: nurture","Development pathway")))))</f>
        <v/>
      </c>
      <c r="AD86" s="32"/>
    </row>
    <row r="87" customFormat="false" ht="15" hidden="false" customHeight="false" outlineLevel="0" collapsed="false">
      <c r="A87" s="29"/>
      <c r="B87" s="29"/>
      <c r="C87" s="29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1" t="str">
        <f aca="false">IF($A87="","",IF(COUNTIF(F87:I87,"Yes")=4,"Pass","Fail"))</f>
        <v/>
      </c>
      <c r="Z87" s="31" t="str">
        <f aca="false">IF($A87="","",IF(AND(IFERROR(MATCH(J87,Settings!$A$10:$A$14,0),0)&gt;=MATCH(Settings!$B$4,Settings!$A$10:$A$14,0),K87="Yes",L87="Yes"),"Pass","Fail"))</f>
        <v/>
      </c>
      <c r="AA87" s="31" t="str">
        <f aca="false">IF($A87="","",IF(COUNTIF(M87:P87,"Yes")=4,"Pass","Fail"))</f>
        <v/>
      </c>
      <c r="AB87" s="31" t="str">
        <f aca="false">IF($A87="","",SUM(Q87:U87))</f>
        <v/>
      </c>
      <c r="AC87" s="31" t="str">
        <f aca="false">IF($A87="","",IF(OR(Y87="Fail",X87="Yes",V87&lt;&gt;"Yes"),"Not a fit",IF(OR(Z87="Fail",AA87="Fail"),"Development pathway",IF(AB87&gt;=Settings!$B$5,"Qualified: high intent",IF(AB87&gt;=Settings!$B$6,"Qualified: nurture","Development pathway")))))</f>
        <v/>
      </c>
      <c r="AD87" s="32"/>
    </row>
    <row r="88" customFormat="false" ht="15" hidden="false" customHeight="false" outlineLevel="0" collapsed="false">
      <c r="A88" s="29"/>
      <c r="B88" s="29"/>
      <c r="C88" s="29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1" t="str">
        <f aca="false">IF($A88="","",IF(COUNTIF(F88:I88,"Yes")=4,"Pass","Fail"))</f>
        <v/>
      </c>
      <c r="Z88" s="31" t="str">
        <f aca="false">IF($A88="","",IF(AND(IFERROR(MATCH(J88,Settings!$A$10:$A$14,0),0)&gt;=MATCH(Settings!$B$4,Settings!$A$10:$A$14,0),K88="Yes",L88="Yes"),"Pass","Fail"))</f>
        <v/>
      </c>
      <c r="AA88" s="31" t="str">
        <f aca="false">IF($A88="","",IF(COUNTIF(M88:P88,"Yes")=4,"Pass","Fail"))</f>
        <v/>
      </c>
      <c r="AB88" s="31" t="str">
        <f aca="false">IF($A88="","",SUM(Q88:U88))</f>
        <v/>
      </c>
      <c r="AC88" s="31" t="str">
        <f aca="false">IF($A88="","",IF(OR(Y88="Fail",X88="Yes",V88&lt;&gt;"Yes"),"Not a fit",IF(OR(Z88="Fail",AA88="Fail"),"Development pathway",IF(AB88&gt;=Settings!$B$5,"Qualified: high intent",IF(AB88&gt;=Settings!$B$6,"Qualified: nurture","Development pathway")))))</f>
        <v/>
      </c>
      <c r="AD88" s="32"/>
    </row>
    <row r="89" customFormat="false" ht="15" hidden="false" customHeight="false" outlineLevel="0" collapsed="false">
      <c r="A89" s="29"/>
      <c r="B89" s="29"/>
      <c r="C89" s="29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1" t="str">
        <f aca="false">IF($A89="","",IF(COUNTIF(F89:I89,"Yes")=4,"Pass","Fail"))</f>
        <v/>
      </c>
      <c r="Z89" s="31" t="str">
        <f aca="false">IF($A89="","",IF(AND(IFERROR(MATCH(J89,Settings!$A$10:$A$14,0),0)&gt;=MATCH(Settings!$B$4,Settings!$A$10:$A$14,0),K89="Yes",L89="Yes"),"Pass","Fail"))</f>
        <v/>
      </c>
      <c r="AA89" s="31" t="str">
        <f aca="false">IF($A89="","",IF(COUNTIF(M89:P89,"Yes")=4,"Pass","Fail"))</f>
        <v/>
      </c>
      <c r="AB89" s="31" t="str">
        <f aca="false">IF($A89="","",SUM(Q89:U89))</f>
        <v/>
      </c>
      <c r="AC89" s="31" t="str">
        <f aca="false">IF($A89="","",IF(OR(Y89="Fail",X89="Yes",V89&lt;&gt;"Yes"),"Not a fit",IF(OR(Z89="Fail",AA89="Fail"),"Development pathway",IF(AB89&gt;=Settings!$B$5,"Qualified: high intent",IF(AB89&gt;=Settings!$B$6,"Qualified: nurture","Development pathway")))))</f>
        <v/>
      </c>
      <c r="AD89" s="32"/>
    </row>
    <row r="90" customFormat="false" ht="15" hidden="false" customHeight="false" outlineLevel="0" collapsed="false">
      <c r="A90" s="29"/>
      <c r="B90" s="29"/>
      <c r="C90" s="29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1" t="str">
        <f aca="false">IF($A90="","",IF(COUNTIF(F90:I90,"Yes")=4,"Pass","Fail"))</f>
        <v/>
      </c>
      <c r="Z90" s="31" t="str">
        <f aca="false">IF($A90="","",IF(AND(IFERROR(MATCH(J90,Settings!$A$10:$A$14,0),0)&gt;=MATCH(Settings!$B$4,Settings!$A$10:$A$14,0),K90="Yes",L90="Yes"),"Pass","Fail"))</f>
        <v/>
      </c>
      <c r="AA90" s="31" t="str">
        <f aca="false">IF($A90="","",IF(COUNTIF(M90:P90,"Yes")=4,"Pass","Fail"))</f>
        <v/>
      </c>
      <c r="AB90" s="31" t="str">
        <f aca="false">IF($A90="","",SUM(Q90:U90))</f>
        <v/>
      </c>
      <c r="AC90" s="31" t="str">
        <f aca="false">IF($A90="","",IF(OR(Y90="Fail",X90="Yes",V90&lt;&gt;"Yes"),"Not a fit",IF(OR(Z90="Fail",AA90="Fail"),"Development pathway",IF(AB90&gt;=Settings!$B$5,"Qualified: high intent",IF(AB90&gt;=Settings!$B$6,"Qualified: nurture","Development pathway")))))</f>
        <v/>
      </c>
      <c r="AD90" s="32"/>
    </row>
    <row r="91" customFormat="false" ht="15" hidden="false" customHeight="false" outlineLevel="0" collapsed="false">
      <c r="A91" s="29"/>
      <c r="B91" s="29"/>
      <c r="C91" s="29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1" t="str">
        <f aca="false">IF($A91="","",IF(COUNTIF(F91:I91,"Yes")=4,"Pass","Fail"))</f>
        <v/>
      </c>
      <c r="Z91" s="31" t="str">
        <f aca="false">IF($A91="","",IF(AND(IFERROR(MATCH(J91,Settings!$A$10:$A$14,0),0)&gt;=MATCH(Settings!$B$4,Settings!$A$10:$A$14,0),K91="Yes",L91="Yes"),"Pass","Fail"))</f>
        <v/>
      </c>
      <c r="AA91" s="31" t="str">
        <f aca="false">IF($A91="","",IF(COUNTIF(M91:P91,"Yes")=4,"Pass","Fail"))</f>
        <v/>
      </c>
      <c r="AB91" s="31" t="str">
        <f aca="false">IF($A91="","",SUM(Q91:U91))</f>
        <v/>
      </c>
      <c r="AC91" s="31" t="str">
        <f aca="false">IF($A91="","",IF(OR(Y91="Fail",X91="Yes",V91&lt;&gt;"Yes"),"Not a fit",IF(OR(Z91="Fail",AA91="Fail"),"Development pathway",IF(AB91&gt;=Settings!$B$5,"Qualified: high intent",IF(AB91&gt;=Settings!$B$6,"Qualified: nurture","Development pathway")))))</f>
        <v/>
      </c>
      <c r="AD91" s="32"/>
    </row>
    <row r="92" customFormat="false" ht="15" hidden="false" customHeight="false" outlineLevel="0" collapsed="false">
      <c r="A92" s="29"/>
      <c r="B92" s="29"/>
      <c r="C92" s="29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1" t="str">
        <f aca="false">IF($A92="","",IF(COUNTIF(F92:I92,"Yes")=4,"Pass","Fail"))</f>
        <v/>
      </c>
      <c r="Z92" s="31" t="str">
        <f aca="false">IF($A92="","",IF(AND(IFERROR(MATCH(J92,Settings!$A$10:$A$14,0),0)&gt;=MATCH(Settings!$B$4,Settings!$A$10:$A$14,0),K92="Yes",L92="Yes"),"Pass","Fail"))</f>
        <v/>
      </c>
      <c r="AA92" s="31" t="str">
        <f aca="false">IF($A92="","",IF(COUNTIF(M92:P92,"Yes")=4,"Pass","Fail"))</f>
        <v/>
      </c>
      <c r="AB92" s="31" t="str">
        <f aca="false">IF($A92="","",SUM(Q92:U92))</f>
        <v/>
      </c>
      <c r="AC92" s="31" t="str">
        <f aca="false">IF($A92="","",IF(OR(Y92="Fail",X92="Yes",V92&lt;&gt;"Yes"),"Not a fit",IF(OR(Z92="Fail",AA92="Fail"),"Development pathway",IF(AB92&gt;=Settings!$B$5,"Qualified: high intent",IF(AB92&gt;=Settings!$B$6,"Qualified: nurture","Development pathway")))))</f>
        <v/>
      </c>
      <c r="AD92" s="32"/>
    </row>
    <row r="93" customFormat="false" ht="15" hidden="false" customHeight="false" outlineLevel="0" collapsed="false">
      <c r="A93" s="29"/>
      <c r="B93" s="29"/>
      <c r="C93" s="29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1" t="str">
        <f aca="false">IF($A93="","",IF(COUNTIF(F93:I93,"Yes")=4,"Pass","Fail"))</f>
        <v/>
      </c>
      <c r="Z93" s="31" t="str">
        <f aca="false">IF($A93="","",IF(AND(IFERROR(MATCH(J93,Settings!$A$10:$A$14,0),0)&gt;=MATCH(Settings!$B$4,Settings!$A$10:$A$14,0),K93="Yes",L93="Yes"),"Pass","Fail"))</f>
        <v/>
      </c>
      <c r="AA93" s="31" t="str">
        <f aca="false">IF($A93="","",IF(COUNTIF(M93:P93,"Yes")=4,"Pass","Fail"))</f>
        <v/>
      </c>
      <c r="AB93" s="31" t="str">
        <f aca="false">IF($A93="","",SUM(Q93:U93))</f>
        <v/>
      </c>
      <c r="AC93" s="31" t="str">
        <f aca="false">IF($A93="","",IF(OR(Y93="Fail",X93="Yes",V93&lt;&gt;"Yes"),"Not a fit",IF(OR(Z93="Fail",AA93="Fail"),"Development pathway",IF(AB93&gt;=Settings!$B$5,"Qualified: high intent",IF(AB93&gt;=Settings!$B$6,"Qualified: nurture","Development pathway")))))</f>
        <v/>
      </c>
      <c r="AD93" s="32"/>
    </row>
    <row r="94" customFormat="false" ht="15" hidden="false" customHeight="false" outlineLevel="0" collapsed="false">
      <c r="A94" s="29"/>
      <c r="B94" s="29"/>
      <c r="C94" s="29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1" t="str">
        <f aca="false">IF($A94="","",IF(COUNTIF(F94:I94,"Yes")=4,"Pass","Fail"))</f>
        <v/>
      </c>
      <c r="Z94" s="31" t="str">
        <f aca="false">IF($A94="","",IF(AND(IFERROR(MATCH(J94,Settings!$A$10:$A$14,0),0)&gt;=MATCH(Settings!$B$4,Settings!$A$10:$A$14,0),K94="Yes",L94="Yes"),"Pass","Fail"))</f>
        <v/>
      </c>
      <c r="AA94" s="31" t="str">
        <f aca="false">IF($A94="","",IF(COUNTIF(M94:P94,"Yes")=4,"Pass","Fail"))</f>
        <v/>
      </c>
      <c r="AB94" s="31" t="str">
        <f aca="false">IF($A94="","",SUM(Q94:U94))</f>
        <v/>
      </c>
      <c r="AC94" s="31" t="str">
        <f aca="false">IF($A94="","",IF(OR(Y94="Fail",X94="Yes",V94&lt;&gt;"Yes"),"Not a fit",IF(OR(Z94="Fail",AA94="Fail"),"Development pathway",IF(AB94&gt;=Settings!$B$5,"Qualified: high intent",IF(AB94&gt;=Settings!$B$6,"Qualified: nurture","Development pathway")))))</f>
        <v/>
      </c>
      <c r="AD94" s="32"/>
    </row>
    <row r="95" customFormat="false" ht="15" hidden="false" customHeight="false" outlineLevel="0" collapsed="false">
      <c r="A95" s="29"/>
      <c r="B95" s="29"/>
      <c r="C95" s="29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1" t="str">
        <f aca="false">IF($A95="","",IF(COUNTIF(F95:I95,"Yes")=4,"Pass","Fail"))</f>
        <v/>
      </c>
      <c r="Z95" s="31" t="str">
        <f aca="false">IF($A95="","",IF(AND(IFERROR(MATCH(J95,Settings!$A$10:$A$14,0),0)&gt;=MATCH(Settings!$B$4,Settings!$A$10:$A$14,0),K95="Yes",L95="Yes"),"Pass","Fail"))</f>
        <v/>
      </c>
      <c r="AA95" s="31" t="str">
        <f aca="false">IF($A95="","",IF(COUNTIF(M95:P95,"Yes")=4,"Pass","Fail"))</f>
        <v/>
      </c>
      <c r="AB95" s="31" t="str">
        <f aca="false">IF($A95="","",SUM(Q95:U95))</f>
        <v/>
      </c>
      <c r="AC95" s="31" t="str">
        <f aca="false">IF($A95="","",IF(OR(Y95="Fail",X95="Yes",V95&lt;&gt;"Yes"),"Not a fit",IF(OR(Z95="Fail",AA95="Fail"),"Development pathway",IF(AB95&gt;=Settings!$B$5,"Qualified: high intent",IF(AB95&gt;=Settings!$B$6,"Qualified: nurture","Development pathway")))))</f>
        <v/>
      </c>
      <c r="AD95" s="32"/>
    </row>
    <row r="96" customFormat="false" ht="15" hidden="false" customHeight="false" outlineLevel="0" collapsed="false">
      <c r="A96" s="29"/>
      <c r="B96" s="29"/>
      <c r="C96" s="29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1" t="str">
        <f aca="false">IF($A96="","",IF(COUNTIF(F96:I96,"Yes")=4,"Pass","Fail"))</f>
        <v/>
      </c>
      <c r="Z96" s="31" t="str">
        <f aca="false">IF($A96="","",IF(AND(IFERROR(MATCH(J96,Settings!$A$10:$A$14,0),0)&gt;=MATCH(Settings!$B$4,Settings!$A$10:$A$14,0),K96="Yes",L96="Yes"),"Pass","Fail"))</f>
        <v/>
      </c>
      <c r="AA96" s="31" t="str">
        <f aca="false">IF($A96="","",IF(COUNTIF(M96:P96,"Yes")=4,"Pass","Fail"))</f>
        <v/>
      </c>
      <c r="AB96" s="31" t="str">
        <f aca="false">IF($A96="","",SUM(Q96:U96))</f>
        <v/>
      </c>
      <c r="AC96" s="31" t="str">
        <f aca="false">IF($A96="","",IF(OR(Y96="Fail",X96="Yes",V96&lt;&gt;"Yes"),"Not a fit",IF(OR(Z96="Fail",AA96="Fail"),"Development pathway",IF(AB96&gt;=Settings!$B$5,"Qualified: high intent",IF(AB96&gt;=Settings!$B$6,"Qualified: nurture","Development pathway")))))</f>
        <v/>
      </c>
      <c r="AD96" s="32"/>
    </row>
    <row r="97" customFormat="false" ht="15" hidden="false" customHeight="false" outlineLevel="0" collapsed="false">
      <c r="A97" s="29"/>
      <c r="B97" s="29"/>
      <c r="C97" s="29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1" t="str">
        <f aca="false">IF($A97="","",IF(COUNTIF(F97:I97,"Yes")=4,"Pass","Fail"))</f>
        <v/>
      </c>
      <c r="Z97" s="31" t="str">
        <f aca="false">IF($A97="","",IF(AND(IFERROR(MATCH(J97,Settings!$A$10:$A$14,0),0)&gt;=MATCH(Settings!$B$4,Settings!$A$10:$A$14,0),K97="Yes",L97="Yes"),"Pass","Fail"))</f>
        <v/>
      </c>
      <c r="AA97" s="31" t="str">
        <f aca="false">IF($A97="","",IF(COUNTIF(M97:P97,"Yes")=4,"Pass","Fail"))</f>
        <v/>
      </c>
      <c r="AB97" s="31" t="str">
        <f aca="false">IF($A97="","",SUM(Q97:U97))</f>
        <v/>
      </c>
      <c r="AC97" s="31" t="str">
        <f aca="false">IF($A97="","",IF(OR(Y97="Fail",X97="Yes",V97&lt;&gt;"Yes"),"Not a fit",IF(OR(Z97="Fail",AA97="Fail"),"Development pathway",IF(AB97&gt;=Settings!$B$5,"Qualified: high intent",IF(AB97&gt;=Settings!$B$6,"Qualified: nurture","Development pathway")))))</f>
        <v/>
      </c>
      <c r="AD97" s="32"/>
    </row>
    <row r="98" customFormat="false" ht="15" hidden="false" customHeight="false" outlineLevel="0" collapsed="false">
      <c r="A98" s="29"/>
      <c r="B98" s="29"/>
      <c r="C98" s="29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1" t="str">
        <f aca="false">IF($A98="","",IF(COUNTIF(F98:I98,"Yes")=4,"Pass","Fail"))</f>
        <v/>
      </c>
      <c r="Z98" s="31" t="str">
        <f aca="false">IF($A98="","",IF(AND(IFERROR(MATCH(J98,Settings!$A$10:$A$14,0),0)&gt;=MATCH(Settings!$B$4,Settings!$A$10:$A$14,0),K98="Yes",L98="Yes"),"Pass","Fail"))</f>
        <v/>
      </c>
      <c r="AA98" s="31" t="str">
        <f aca="false">IF($A98="","",IF(COUNTIF(M98:P98,"Yes")=4,"Pass","Fail"))</f>
        <v/>
      </c>
      <c r="AB98" s="31" t="str">
        <f aca="false">IF($A98="","",SUM(Q98:U98))</f>
        <v/>
      </c>
      <c r="AC98" s="31" t="str">
        <f aca="false">IF($A98="","",IF(OR(Y98="Fail",X98="Yes",V98&lt;&gt;"Yes"),"Not a fit",IF(OR(Z98="Fail",AA98="Fail"),"Development pathway",IF(AB98&gt;=Settings!$B$5,"Qualified: high intent",IF(AB98&gt;=Settings!$B$6,"Qualified: nurture","Development pathway")))))</f>
        <v/>
      </c>
      <c r="AD98" s="32"/>
    </row>
    <row r="99" customFormat="false" ht="15" hidden="false" customHeight="false" outlineLevel="0" collapsed="false">
      <c r="A99" s="29"/>
      <c r="B99" s="29"/>
      <c r="C99" s="29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1" t="str">
        <f aca="false">IF($A99="","",IF(COUNTIF(F99:I99,"Yes")=4,"Pass","Fail"))</f>
        <v/>
      </c>
      <c r="Z99" s="31" t="str">
        <f aca="false">IF($A99="","",IF(AND(IFERROR(MATCH(J99,Settings!$A$10:$A$14,0),0)&gt;=MATCH(Settings!$B$4,Settings!$A$10:$A$14,0),K99="Yes",L99="Yes"),"Pass","Fail"))</f>
        <v/>
      </c>
      <c r="AA99" s="31" t="str">
        <f aca="false">IF($A99="","",IF(COUNTIF(M99:P99,"Yes")=4,"Pass","Fail"))</f>
        <v/>
      </c>
      <c r="AB99" s="31" t="str">
        <f aca="false">IF($A99="","",SUM(Q99:U99))</f>
        <v/>
      </c>
      <c r="AC99" s="31" t="str">
        <f aca="false">IF($A99="","",IF(OR(Y99="Fail",X99="Yes",V99&lt;&gt;"Yes"),"Not a fit",IF(OR(Z99="Fail",AA99="Fail"),"Development pathway",IF(AB99&gt;=Settings!$B$5,"Qualified: high intent",IF(AB99&gt;=Settings!$B$6,"Qualified: nurture","Development pathway")))))</f>
        <v/>
      </c>
      <c r="AD99" s="32"/>
    </row>
    <row r="100" customFormat="false" ht="15" hidden="false" customHeight="false" outlineLevel="0" collapsed="false">
      <c r="A100" s="29"/>
      <c r="B100" s="29"/>
      <c r="C100" s="29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1" t="str">
        <f aca="false">IF($A100="","",IF(COUNTIF(F100:I100,"Yes")=4,"Pass","Fail"))</f>
        <v/>
      </c>
      <c r="Z100" s="31" t="str">
        <f aca="false">IF($A100="","",IF(AND(IFERROR(MATCH(J100,Settings!$A$10:$A$14,0),0)&gt;=MATCH(Settings!$B$4,Settings!$A$10:$A$14,0),K100="Yes",L100="Yes"),"Pass","Fail"))</f>
        <v/>
      </c>
      <c r="AA100" s="31" t="str">
        <f aca="false">IF($A100="","",IF(COUNTIF(M100:P100,"Yes")=4,"Pass","Fail"))</f>
        <v/>
      </c>
      <c r="AB100" s="31" t="str">
        <f aca="false">IF($A100="","",SUM(Q100:U100))</f>
        <v/>
      </c>
      <c r="AC100" s="31" t="str">
        <f aca="false">IF($A100="","",IF(OR(Y100="Fail",X100="Yes",V100&lt;&gt;"Yes"),"Not a fit",IF(OR(Z100="Fail",AA100="Fail"),"Development pathway",IF(AB100&gt;=Settings!$B$5,"Qualified: high intent",IF(AB100&gt;=Settings!$B$6,"Qualified: nurture","Development pathway")))))</f>
        <v/>
      </c>
      <c r="AD100" s="32"/>
    </row>
    <row r="101" customFormat="false" ht="15" hidden="false" customHeight="false" outlineLevel="0" collapsed="false">
      <c r="A101" s="29"/>
      <c r="B101" s="29"/>
      <c r="C101" s="29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1" t="str">
        <f aca="false">IF($A101="","",IF(COUNTIF(F101:I101,"Yes")=4,"Pass","Fail"))</f>
        <v/>
      </c>
      <c r="Z101" s="31" t="str">
        <f aca="false">IF($A101="","",IF(AND(IFERROR(MATCH(J101,Settings!$A$10:$A$14,0),0)&gt;=MATCH(Settings!$B$4,Settings!$A$10:$A$14,0),K101="Yes",L101="Yes"),"Pass","Fail"))</f>
        <v/>
      </c>
      <c r="AA101" s="31" t="str">
        <f aca="false">IF($A101="","",IF(COUNTIF(M101:P101,"Yes")=4,"Pass","Fail"))</f>
        <v/>
      </c>
      <c r="AB101" s="31" t="str">
        <f aca="false">IF($A101="","",SUM(Q101:U101))</f>
        <v/>
      </c>
      <c r="AC101" s="31" t="str">
        <f aca="false">IF($A101="","",IF(OR(Y101="Fail",X101="Yes",V101&lt;&gt;"Yes"),"Not a fit",IF(OR(Z101="Fail",AA101="Fail"),"Development pathway",IF(AB101&gt;=Settings!$B$5,"Qualified: high intent",IF(AB101&gt;=Settings!$B$6,"Qualified: nurture","Development pathway")))))</f>
        <v/>
      </c>
      <c r="AD101" s="32"/>
    </row>
    <row r="102" customFormat="false" ht="15" hidden="false" customHeight="false" outlineLevel="0" collapsed="false">
      <c r="A102" s="29"/>
      <c r="B102" s="29"/>
      <c r="C102" s="29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1" t="str">
        <f aca="false">IF($A102="","",IF(COUNTIF(F102:I102,"Yes")=4,"Pass","Fail"))</f>
        <v/>
      </c>
      <c r="Z102" s="31" t="str">
        <f aca="false">IF($A102="","",IF(AND(IFERROR(MATCH(J102,Settings!$A$10:$A$14,0),0)&gt;=MATCH(Settings!$B$4,Settings!$A$10:$A$14,0),K102="Yes",L102="Yes"),"Pass","Fail"))</f>
        <v/>
      </c>
      <c r="AA102" s="31" t="str">
        <f aca="false">IF($A102="","",IF(COUNTIF(M102:P102,"Yes")=4,"Pass","Fail"))</f>
        <v/>
      </c>
      <c r="AB102" s="31" t="str">
        <f aca="false">IF($A102="","",SUM(Q102:U102))</f>
        <v/>
      </c>
      <c r="AC102" s="31" t="str">
        <f aca="false">IF($A102="","",IF(OR(Y102="Fail",X102="Yes",V102&lt;&gt;"Yes"),"Not a fit",IF(OR(Z102="Fail",AA102="Fail"),"Development pathway",IF(AB102&gt;=Settings!$B$5,"Qualified: high intent",IF(AB102&gt;=Settings!$B$6,"Qualified: nurture","Development pathway")))))</f>
        <v/>
      </c>
      <c r="AD102" s="32"/>
    </row>
    <row r="103" customFormat="false" ht="15" hidden="false" customHeight="false" outlineLevel="0" collapsed="false">
      <c r="A103" s="29"/>
      <c r="B103" s="29"/>
      <c r="C103" s="29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1" t="str">
        <f aca="false">IF($A103="","",IF(COUNTIF(F103:I103,"Yes")=4,"Pass","Fail"))</f>
        <v/>
      </c>
      <c r="Z103" s="31" t="str">
        <f aca="false">IF($A103="","",IF(AND(IFERROR(MATCH(J103,Settings!$A$10:$A$14,0),0)&gt;=MATCH(Settings!$B$4,Settings!$A$10:$A$14,0),K103="Yes",L103="Yes"),"Pass","Fail"))</f>
        <v/>
      </c>
      <c r="AA103" s="31" t="str">
        <f aca="false">IF($A103="","",IF(COUNTIF(M103:P103,"Yes")=4,"Pass","Fail"))</f>
        <v/>
      </c>
      <c r="AB103" s="31" t="str">
        <f aca="false">IF($A103="","",SUM(Q103:U103))</f>
        <v/>
      </c>
      <c r="AC103" s="31" t="str">
        <f aca="false">IF($A103="","",IF(OR(Y103="Fail",X103="Yes",V103&lt;&gt;"Yes"),"Not a fit",IF(OR(Z103="Fail",AA103="Fail"),"Development pathway",IF(AB103&gt;=Settings!$B$5,"Qualified: high intent",IF(AB103&gt;=Settings!$B$6,"Qualified: nurture","Development pathway")))))</f>
        <v/>
      </c>
      <c r="AD103" s="32"/>
    </row>
    <row r="104" customFormat="false" ht="15" hidden="false" customHeight="false" outlineLevel="0" collapsed="false">
      <c r="A104" s="29"/>
      <c r="B104" s="29"/>
      <c r="C104" s="29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1" t="str">
        <f aca="false">IF($A104="","",IF(COUNTIF(F104:I104,"Yes")=4,"Pass","Fail"))</f>
        <v/>
      </c>
      <c r="Z104" s="31" t="str">
        <f aca="false">IF($A104="","",IF(AND(IFERROR(MATCH(J104,Settings!$A$10:$A$14,0),0)&gt;=MATCH(Settings!$B$4,Settings!$A$10:$A$14,0),K104="Yes",L104="Yes"),"Pass","Fail"))</f>
        <v/>
      </c>
      <c r="AA104" s="31" t="str">
        <f aca="false">IF($A104="","",IF(COUNTIF(M104:P104,"Yes")=4,"Pass","Fail"))</f>
        <v/>
      </c>
      <c r="AB104" s="31" t="str">
        <f aca="false">IF($A104="","",SUM(Q104:U104))</f>
        <v/>
      </c>
      <c r="AC104" s="31" t="str">
        <f aca="false">IF($A104="","",IF(OR(Y104="Fail",X104="Yes",V104&lt;&gt;"Yes"),"Not a fit",IF(OR(Z104="Fail",AA104="Fail"),"Development pathway",IF(AB104&gt;=Settings!$B$5,"Qualified: high intent",IF(AB104&gt;=Settings!$B$6,"Qualified: nurture","Development pathway")))))</f>
        <v/>
      </c>
      <c r="AD104" s="32"/>
    </row>
    <row r="105" customFormat="false" ht="15" hidden="false" customHeight="false" outlineLevel="0" collapsed="false">
      <c r="A105" s="29"/>
      <c r="B105" s="29"/>
      <c r="C105" s="29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1" t="str">
        <f aca="false">IF($A105="","",IF(COUNTIF(F105:I105,"Yes")=4,"Pass","Fail"))</f>
        <v/>
      </c>
      <c r="Z105" s="31" t="str">
        <f aca="false">IF($A105="","",IF(AND(IFERROR(MATCH(J105,Settings!$A$10:$A$14,0),0)&gt;=MATCH(Settings!$B$4,Settings!$A$10:$A$14,0),K105="Yes",L105="Yes"),"Pass","Fail"))</f>
        <v/>
      </c>
      <c r="AA105" s="31" t="str">
        <f aca="false">IF($A105="","",IF(COUNTIF(M105:P105,"Yes")=4,"Pass","Fail"))</f>
        <v/>
      </c>
      <c r="AB105" s="31" t="str">
        <f aca="false">IF($A105="","",SUM(Q105:U105))</f>
        <v/>
      </c>
      <c r="AC105" s="31" t="str">
        <f aca="false">IF($A105="","",IF(OR(Y105="Fail",X105="Yes",V105&lt;&gt;"Yes"),"Not a fit",IF(OR(Z105="Fail",AA105="Fail"),"Development pathway",IF(AB105&gt;=Settings!$B$5,"Qualified: high intent",IF(AB105&gt;=Settings!$B$6,"Qualified: nurture","Development pathway")))))</f>
        <v/>
      </c>
      <c r="AD105" s="32"/>
    </row>
    <row r="106" customFormat="false" ht="15" hidden="false" customHeight="false" outlineLevel="0" collapsed="false">
      <c r="A106" s="29"/>
      <c r="B106" s="29"/>
      <c r="C106" s="29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1" t="str">
        <f aca="false">IF($A106="","",IF(COUNTIF(F106:I106,"Yes")=4,"Pass","Fail"))</f>
        <v/>
      </c>
      <c r="Z106" s="31" t="str">
        <f aca="false">IF($A106="","",IF(AND(IFERROR(MATCH(J106,Settings!$A$10:$A$14,0),0)&gt;=MATCH(Settings!$B$4,Settings!$A$10:$A$14,0),K106="Yes",L106="Yes"),"Pass","Fail"))</f>
        <v/>
      </c>
      <c r="AA106" s="31" t="str">
        <f aca="false">IF($A106="","",IF(COUNTIF(M106:P106,"Yes")=4,"Pass","Fail"))</f>
        <v/>
      </c>
      <c r="AB106" s="31" t="str">
        <f aca="false">IF($A106="","",SUM(Q106:U106))</f>
        <v/>
      </c>
      <c r="AC106" s="31" t="str">
        <f aca="false">IF($A106="","",IF(OR(Y106="Fail",X106="Yes",V106&lt;&gt;"Yes"),"Not a fit",IF(OR(Z106="Fail",AA106="Fail"),"Development pathway",IF(AB106&gt;=Settings!$B$5,"Qualified: high intent",IF(AB106&gt;=Settings!$B$6,"Qualified: nurture","Development pathway")))))</f>
        <v/>
      </c>
      <c r="AD106" s="32"/>
    </row>
    <row r="107" customFormat="false" ht="15" hidden="false" customHeight="false" outlineLevel="0" collapsed="false">
      <c r="A107" s="29"/>
      <c r="B107" s="29"/>
      <c r="C107" s="29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1" t="str">
        <f aca="false">IF($A107="","",IF(COUNTIF(F107:I107,"Yes")=4,"Pass","Fail"))</f>
        <v/>
      </c>
      <c r="Z107" s="31" t="str">
        <f aca="false">IF($A107="","",IF(AND(IFERROR(MATCH(J107,Settings!$A$10:$A$14,0),0)&gt;=MATCH(Settings!$B$4,Settings!$A$10:$A$14,0),K107="Yes",L107="Yes"),"Pass","Fail"))</f>
        <v/>
      </c>
      <c r="AA107" s="31" t="str">
        <f aca="false">IF($A107="","",IF(COUNTIF(M107:P107,"Yes")=4,"Pass","Fail"))</f>
        <v/>
      </c>
      <c r="AB107" s="31" t="str">
        <f aca="false">IF($A107="","",SUM(Q107:U107))</f>
        <v/>
      </c>
      <c r="AC107" s="31" t="str">
        <f aca="false">IF($A107="","",IF(OR(Y107="Fail",X107="Yes",V107&lt;&gt;"Yes"),"Not a fit",IF(OR(Z107="Fail",AA107="Fail"),"Development pathway",IF(AB107&gt;=Settings!$B$5,"Qualified: high intent",IF(AB107&gt;=Settings!$B$6,"Qualified: nurture","Development pathway")))))</f>
        <v/>
      </c>
      <c r="AD107" s="32"/>
    </row>
    <row r="108" customFormat="false" ht="15" hidden="false" customHeight="false" outlineLevel="0" collapsed="false">
      <c r="A108" s="29"/>
      <c r="B108" s="29"/>
      <c r="C108" s="29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1" t="str">
        <f aca="false">IF($A108="","",IF(COUNTIF(F108:I108,"Yes")=4,"Pass","Fail"))</f>
        <v/>
      </c>
      <c r="Z108" s="31" t="str">
        <f aca="false">IF($A108="","",IF(AND(IFERROR(MATCH(J108,Settings!$A$10:$A$14,0),0)&gt;=MATCH(Settings!$B$4,Settings!$A$10:$A$14,0),K108="Yes",L108="Yes"),"Pass","Fail"))</f>
        <v/>
      </c>
      <c r="AA108" s="31" t="str">
        <f aca="false">IF($A108="","",IF(COUNTIF(M108:P108,"Yes")=4,"Pass","Fail"))</f>
        <v/>
      </c>
      <c r="AB108" s="31" t="str">
        <f aca="false">IF($A108="","",SUM(Q108:U108))</f>
        <v/>
      </c>
      <c r="AC108" s="31" t="str">
        <f aca="false">IF($A108="","",IF(OR(Y108="Fail",X108="Yes",V108&lt;&gt;"Yes"),"Not a fit",IF(OR(Z108="Fail",AA108="Fail"),"Development pathway",IF(AB108&gt;=Settings!$B$5,"Qualified: high intent",IF(AB108&gt;=Settings!$B$6,"Qualified: nurture","Development pathway")))))</f>
        <v/>
      </c>
      <c r="AD108" s="32"/>
    </row>
    <row r="109" customFormat="false" ht="15" hidden="false" customHeight="false" outlineLevel="0" collapsed="false">
      <c r="A109" s="29"/>
      <c r="B109" s="29"/>
      <c r="C109" s="29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1" t="str">
        <f aca="false">IF($A109="","",IF(COUNTIF(F109:I109,"Yes")=4,"Pass","Fail"))</f>
        <v/>
      </c>
      <c r="Z109" s="31" t="str">
        <f aca="false">IF($A109="","",IF(AND(IFERROR(MATCH(J109,Settings!$A$10:$A$14,0),0)&gt;=MATCH(Settings!$B$4,Settings!$A$10:$A$14,0),K109="Yes",L109="Yes"),"Pass","Fail"))</f>
        <v/>
      </c>
      <c r="AA109" s="31" t="str">
        <f aca="false">IF($A109="","",IF(COUNTIF(M109:P109,"Yes")=4,"Pass","Fail"))</f>
        <v/>
      </c>
      <c r="AB109" s="31" t="str">
        <f aca="false">IF($A109="","",SUM(Q109:U109))</f>
        <v/>
      </c>
      <c r="AC109" s="31" t="str">
        <f aca="false">IF($A109="","",IF(OR(Y109="Fail",X109="Yes",V109&lt;&gt;"Yes"),"Not a fit",IF(OR(Z109="Fail",AA109="Fail"),"Development pathway",IF(AB109&gt;=Settings!$B$5,"Qualified: high intent",IF(AB109&gt;=Settings!$B$6,"Qualified: nurture","Development pathway")))))</f>
        <v/>
      </c>
      <c r="AD109" s="32"/>
    </row>
    <row r="110" customFormat="false" ht="15" hidden="false" customHeight="false" outlineLevel="0" collapsed="false">
      <c r="A110" s="29"/>
      <c r="B110" s="29"/>
      <c r="C110" s="29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1" t="str">
        <f aca="false">IF($A110="","",IF(COUNTIF(F110:I110,"Yes")=4,"Pass","Fail"))</f>
        <v/>
      </c>
      <c r="Z110" s="31" t="str">
        <f aca="false">IF($A110="","",IF(AND(IFERROR(MATCH(J110,Settings!$A$10:$A$14,0),0)&gt;=MATCH(Settings!$B$4,Settings!$A$10:$A$14,0),K110="Yes",L110="Yes"),"Pass","Fail"))</f>
        <v/>
      </c>
      <c r="AA110" s="31" t="str">
        <f aca="false">IF($A110="","",IF(COUNTIF(M110:P110,"Yes")=4,"Pass","Fail"))</f>
        <v/>
      </c>
      <c r="AB110" s="31" t="str">
        <f aca="false">IF($A110="","",SUM(Q110:U110))</f>
        <v/>
      </c>
      <c r="AC110" s="31" t="str">
        <f aca="false">IF($A110="","",IF(OR(Y110="Fail",X110="Yes",V110&lt;&gt;"Yes"),"Not a fit",IF(OR(Z110="Fail",AA110="Fail"),"Development pathway",IF(AB110&gt;=Settings!$B$5,"Qualified: high intent",IF(AB110&gt;=Settings!$B$6,"Qualified: nurture","Development pathway")))))</f>
        <v/>
      </c>
      <c r="AD110" s="32"/>
    </row>
    <row r="111" customFormat="false" ht="15" hidden="false" customHeight="false" outlineLevel="0" collapsed="false">
      <c r="A111" s="29"/>
      <c r="B111" s="29"/>
      <c r="C111" s="29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1" t="str">
        <f aca="false">IF($A111="","",IF(COUNTIF(F111:I111,"Yes")=4,"Pass","Fail"))</f>
        <v/>
      </c>
      <c r="Z111" s="31" t="str">
        <f aca="false">IF($A111="","",IF(AND(IFERROR(MATCH(J111,Settings!$A$10:$A$14,0),0)&gt;=MATCH(Settings!$B$4,Settings!$A$10:$A$14,0),K111="Yes",L111="Yes"),"Pass","Fail"))</f>
        <v/>
      </c>
      <c r="AA111" s="31" t="str">
        <f aca="false">IF($A111="","",IF(COUNTIF(M111:P111,"Yes")=4,"Pass","Fail"))</f>
        <v/>
      </c>
      <c r="AB111" s="31" t="str">
        <f aca="false">IF($A111="","",SUM(Q111:U111))</f>
        <v/>
      </c>
      <c r="AC111" s="31" t="str">
        <f aca="false">IF($A111="","",IF(OR(Y111="Fail",X111="Yes",V111&lt;&gt;"Yes"),"Not a fit",IF(OR(Z111="Fail",AA111="Fail"),"Development pathway",IF(AB111&gt;=Settings!$B$5,"Qualified: high intent",IF(AB111&gt;=Settings!$B$6,"Qualified: nurture","Development pathway")))))</f>
        <v/>
      </c>
      <c r="AD111" s="32"/>
    </row>
    <row r="112" customFormat="false" ht="15" hidden="false" customHeight="false" outlineLevel="0" collapsed="false">
      <c r="A112" s="29"/>
      <c r="B112" s="29"/>
      <c r="C112" s="29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1" t="str">
        <f aca="false">IF($A112="","",IF(COUNTIF(F112:I112,"Yes")=4,"Pass","Fail"))</f>
        <v/>
      </c>
      <c r="Z112" s="31" t="str">
        <f aca="false">IF($A112="","",IF(AND(IFERROR(MATCH(J112,Settings!$A$10:$A$14,0),0)&gt;=MATCH(Settings!$B$4,Settings!$A$10:$A$14,0),K112="Yes",L112="Yes"),"Pass","Fail"))</f>
        <v/>
      </c>
      <c r="AA112" s="31" t="str">
        <f aca="false">IF($A112="","",IF(COUNTIF(M112:P112,"Yes")=4,"Pass","Fail"))</f>
        <v/>
      </c>
      <c r="AB112" s="31" t="str">
        <f aca="false">IF($A112="","",SUM(Q112:U112))</f>
        <v/>
      </c>
      <c r="AC112" s="31" t="str">
        <f aca="false">IF($A112="","",IF(OR(Y112="Fail",X112="Yes",V112&lt;&gt;"Yes"),"Not a fit",IF(OR(Z112="Fail",AA112="Fail"),"Development pathway",IF(AB112&gt;=Settings!$B$5,"Qualified: high intent",IF(AB112&gt;=Settings!$B$6,"Qualified: nurture","Development pathway")))))</f>
        <v/>
      </c>
      <c r="AD112" s="32"/>
    </row>
    <row r="113" customFormat="false" ht="15" hidden="false" customHeight="false" outlineLevel="0" collapsed="false">
      <c r="A113" s="29"/>
      <c r="B113" s="29"/>
      <c r="C113" s="29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1" t="str">
        <f aca="false">IF($A113="","",IF(COUNTIF(F113:I113,"Yes")=4,"Pass","Fail"))</f>
        <v/>
      </c>
      <c r="Z113" s="31" t="str">
        <f aca="false">IF($A113="","",IF(AND(IFERROR(MATCH(J113,Settings!$A$10:$A$14,0),0)&gt;=MATCH(Settings!$B$4,Settings!$A$10:$A$14,0),K113="Yes",L113="Yes"),"Pass","Fail"))</f>
        <v/>
      </c>
      <c r="AA113" s="31" t="str">
        <f aca="false">IF($A113="","",IF(COUNTIF(M113:P113,"Yes")=4,"Pass","Fail"))</f>
        <v/>
      </c>
      <c r="AB113" s="31" t="str">
        <f aca="false">IF($A113="","",SUM(Q113:U113))</f>
        <v/>
      </c>
      <c r="AC113" s="31" t="str">
        <f aca="false">IF($A113="","",IF(OR(Y113="Fail",X113="Yes",V113&lt;&gt;"Yes"),"Not a fit",IF(OR(Z113="Fail",AA113="Fail"),"Development pathway",IF(AB113&gt;=Settings!$B$5,"Qualified: high intent",IF(AB113&gt;=Settings!$B$6,"Qualified: nurture","Development pathway")))))</f>
        <v/>
      </c>
      <c r="AD113" s="32"/>
    </row>
    <row r="114" customFormat="false" ht="15" hidden="false" customHeight="false" outlineLevel="0" collapsed="false">
      <c r="A114" s="29"/>
      <c r="B114" s="29"/>
      <c r="C114" s="29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1" t="str">
        <f aca="false">IF($A114="","",IF(COUNTIF(F114:I114,"Yes")=4,"Pass","Fail"))</f>
        <v/>
      </c>
      <c r="Z114" s="31" t="str">
        <f aca="false">IF($A114="","",IF(AND(IFERROR(MATCH(J114,Settings!$A$10:$A$14,0),0)&gt;=MATCH(Settings!$B$4,Settings!$A$10:$A$14,0),K114="Yes",L114="Yes"),"Pass","Fail"))</f>
        <v/>
      </c>
      <c r="AA114" s="31" t="str">
        <f aca="false">IF($A114="","",IF(COUNTIF(M114:P114,"Yes")=4,"Pass","Fail"))</f>
        <v/>
      </c>
      <c r="AB114" s="31" t="str">
        <f aca="false">IF($A114="","",SUM(Q114:U114))</f>
        <v/>
      </c>
      <c r="AC114" s="31" t="str">
        <f aca="false">IF($A114="","",IF(OR(Y114="Fail",X114="Yes",V114&lt;&gt;"Yes"),"Not a fit",IF(OR(Z114="Fail",AA114="Fail"),"Development pathway",IF(AB114&gt;=Settings!$B$5,"Qualified: high intent",IF(AB114&gt;=Settings!$B$6,"Qualified: nurture","Development pathway")))))</f>
        <v/>
      </c>
      <c r="AD114" s="32"/>
    </row>
    <row r="115" customFormat="false" ht="15" hidden="false" customHeight="false" outlineLevel="0" collapsed="false">
      <c r="A115" s="29"/>
      <c r="B115" s="29"/>
      <c r="C115" s="29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1" t="str">
        <f aca="false">IF($A115="","",IF(COUNTIF(F115:I115,"Yes")=4,"Pass","Fail"))</f>
        <v/>
      </c>
      <c r="Z115" s="31" t="str">
        <f aca="false">IF($A115="","",IF(AND(IFERROR(MATCH(J115,Settings!$A$10:$A$14,0),0)&gt;=MATCH(Settings!$B$4,Settings!$A$10:$A$14,0),K115="Yes",L115="Yes"),"Pass","Fail"))</f>
        <v/>
      </c>
      <c r="AA115" s="31" t="str">
        <f aca="false">IF($A115="","",IF(COUNTIF(M115:P115,"Yes")=4,"Pass","Fail"))</f>
        <v/>
      </c>
      <c r="AB115" s="31" t="str">
        <f aca="false">IF($A115="","",SUM(Q115:U115))</f>
        <v/>
      </c>
      <c r="AC115" s="31" t="str">
        <f aca="false">IF($A115="","",IF(OR(Y115="Fail",X115="Yes",V115&lt;&gt;"Yes"),"Not a fit",IF(OR(Z115="Fail",AA115="Fail"),"Development pathway",IF(AB115&gt;=Settings!$B$5,"Qualified: high intent",IF(AB115&gt;=Settings!$B$6,"Qualified: nurture","Development pathway")))))</f>
        <v/>
      </c>
      <c r="AD115" s="32"/>
    </row>
    <row r="116" customFormat="false" ht="15" hidden="false" customHeight="false" outlineLevel="0" collapsed="false">
      <c r="A116" s="29"/>
      <c r="B116" s="29"/>
      <c r="C116" s="29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1" t="str">
        <f aca="false">IF($A116="","",IF(COUNTIF(F116:I116,"Yes")=4,"Pass","Fail"))</f>
        <v/>
      </c>
      <c r="Z116" s="31" t="str">
        <f aca="false">IF($A116="","",IF(AND(IFERROR(MATCH(J116,Settings!$A$10:$A$14,0),0)&gt;=MATCH(Settings!$B$4,Settings!$A$10:$A$14,0),K116="Yes",L116="Yes"),"Pass","Fail"))</f>
        <v/>
      </c>
      <c r="AA116" s="31" t="str">
        <f aca="false">IF($A116="","",IF(COUNTIF(M116:P116,"Yes")=4,"Pass","Fail"))</f>
        <v/>
      </c>
      <c r="AB116" s="31" t="str">
        <f aca="false">IF($A116="","",SUM(Q116:U116))</f>
        <v/>
      </c>
      <c r="AC116" s="31" t="str">
        <f aca="false">IF($A116="","",IF(OR(Y116="Fail",X116="Yes",V116&lt;&gt;"Yes"),"Not a fit",IF(OR(Z116="Fail",AA116="Fail"),"Development pathway",IF(AB116&gt;=Settings!$B$5,"Qualified: high intent",IF(AB116&gt;=Settings!$B$6,"Qualified: nurture","Development pathway")))))</f>
        <v/>
      </c>
      <c r="AD116" s="32"/>
    </row>
    <row r="117" customFormat="false" ht="15" hidden="false" customHeight="false" outlineLevel="0" collapsed="false">
      <c r="A117" s="29"/>
      <c r="B117" s="29"/>
      <c r="C117" s="29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1" t="str">
        <f aca="false">IF($A117="","",IF(COUNTIF(F117:I117,"Yes")=4,"Pass","Fail"))</f>
        <v/>
      </c>
      <c r="Z117" s="31" t="str">
        <f aca="false">IF($A117="","",IF(AND(IFERROR(MATCH(J117,Settings!$A$10:$A$14,0),0)&gt;=MATCH(Settings!$B$4,Settings!$A$10:$A$14,0),K117="Yes",L117="Yes"),"Pass","Fail"))</f>
        <v/>
      </c>
      <c r="AA117" s="31" t="str">
        <f aca="false">IF($A117="","",IF(COUNTIF(M117:P117,"Yes")=4,"Pass","Fail"))</f>
        <v/>
      </c>
      <c r="AB117" s="31" t="str">
        <f aca="false">IF($A117="","",SUM(Q117:U117))</f>
        <v/>
      </c>
      <c r="AC117" s="31" t="str">
        <f aca="false">IF($A117="","",IF(OR(Y117="Fail",X117="Yes",V117&lt;&gt;"Yes"),"Not a fit",IF(OR(Z117="Fail",AA117="Fail"),"Development pathway",IF(AB117&gt;=Settings!$B$5,"Qualified: high intent",IF(AB117&gt;=Settings!$B$6,"Qualified: nurture","Development pathway")))))</f>
        <v/>
      </c>
      <c r="AD117" s="32"/>
    </row>
    <row r="118" customFormat="false" ht="15" hidden="false" customHeight="false" outlineLevel="0" collapsed="false">
      <c r="A118" s="29"/>
      <c r="B118" s="29"/>
      <c r="C118" s="29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1" t="str">
        <f aca="false">IF($A118="","",IF(COUNTIF(F118:I118,"Yes")=4,"Pass","Fail"))</f>
        <v/>
      </c>
      <c r="Z118" s="31" t="str">
        <f aca="false">IF($A118="","",IF(AND(IFERROR(MATCH(J118,Settings!$A$10:$A$14,0),0)&gt;=MATCH(Settings!$B$4,Settings!$A$10:$A$14,0),K118="Yes",L118="Yes"),"Pass","Fail"))</f>
        <v/>
      </c>
      <c r="AA118" s="31" t="str">
        <f aca="false">IF($A118="","",IF(COUNTIF(M118:P118,"Yes")=4,"Pass","Fail"))</f>
        <v/>
      </c>
      <c r="AB118" s="31" t="str">
        <f aca="false">IF($A118="","",SUM(Q118:U118))</f>
        <v/>
      </c>
      <c r="AC118" s="31" t="str">
        <f aca="false">IF($A118="","",IF(OR(Y118="Fail",X118="Yes",V118&lt;&gt;"Yes"),"Not a fit",IF(OR(Z118="Fail",AA118="Fail"),"Development pathway",IF(AB118&gt;=Settings!$B$5,"Qualified: high intent",IF(AB118&gt;=Settings!$B$6,"Qualified: nurture","Development pathway")))))</f>
        <v/>
      </c>
      <c r="AD118" s="32"/>
    </row>
    <row r="119" customFormat="false" ht="15" hidden="false" customHeight="false" outlineLevel="0" collapsed="false">
      <c r="A119" s="29"/>
      <c r="B119" s="29"/>
      <c r="C119" s="29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1" t="str">
        <f aca="false">IF($A119="","",IF(COUNTIF(F119:I119,"Yes")=4,"Pass","Fail"))</f>
        <v/>
      </c>
      <c r="Z119" s="31" t="str">
        <f aca="false">IF($A119="","",IF(AND(IFERROR(MATCH(J119,Settings!$A$10:$A$14,0),0)&gt;=MATCH(Settings!$B$4,Settings!$A$10:$A$14,0),K119="Yes",L119="Yes"),"Pass","Fail"))</f>
        <v/>
      </c>
      <c r="AA119" s="31" t="str">
        <f aca="false">IF($A119="","",IF(COUNTIF(M119:P119,"Yes")=4,"Pass","Fail"))</f>
        <v/>
      </c>
      <c r="AB119" s="31" t="str">
        <f aca="false">IF($A119="","",SUM(Q119:U119))</f>
        <v/>
      </c>
      <c r="AC119" s="31" t="str">
        <f aca="false">IF($A119="","",IF(OR(Y119="Fail",X119="Yes",V119&lt;&gt;"Yes"),"Not a fit",IF(OR(Z119="Fail",AA119="Fail"),"Development pathway",IF(AB119&gt;=Settings!$B$5,"Qualified: high intent",IF(AB119&gt;=Settings!$B$6,"Qualified: nurture","Development pathway")))))</f>
        <v/>
      </c>
      <c r="AD119" s="32"/>
    </row>
    <row r="120" customFormat="false" ht="15" hidden="false" customHeight="false" outlineLevel="0" collapsed="false">
      <c r="A120" s="29"/>
      <c r="B120" s="29"/>
      <c r="C120" s="29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1" t="str">
        <f aca="false">IF($A120="","",IF(COUNTIF(F120:I120,"Yes")=4,"Pass","Fail"))</f>
        <v/>
      </c>
      <c r="Z120" s="31" t="str">
        <f aca="false">IF($A120="","",IF(AND(IFERROR(MATCH(J120,Settings!$A$10:$A$14,0),0)&gt;=MATCH(Settings!$B$4,Settings!$A$10:$A$14,0),K120="Yes",L120="Yes"),"Pass","Fail"))</f>
        <v/>
      </c>
      <c r="AA120" s="31" t="str">
        <f aca="false">IF($A120="","",IF(COUNTIF(M120:P120,"Yes")=4,"Pass","Fail"))</f>
        <v/>
      </c>
      <c r="AB120" s="31" t="str">
        <f aca="false">IF($A120="","",SUM(Q120:U120))</f>
        <v/>
      </c>
      <c r="AC120" s="31" t="str">
        <f aca="false">IF($A120="","",IF(OR(Y120="Fail",X120="Yes",V120&lt;&gt;"Yes"),"Not a fit",IF(OR(Z120="Fail",AA120="Fail"),"Development pathway",IF(AB120&gt;=Settings!$B$5,"Qualified: high intent",IF(AB120&gt;=Settings!$B$6,"Qualified: nurture","Development pathway")))))</f>
        <v/>
      </c>
      <c r="AD120" s="32"/>
    </row>
    <row r="121" customFormat="false" ht="15" hidden="false" customHeight="false" outlineLevel="0" collapsed="false">
      <c r="A121" s="29"/>
      <c r="B121" s="29"/>
      <c r="C121" s="29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1" t="str">
        <f aca="false">IF($A121="","",IF(COUNTIF(F121:I121,"Yes")=4,"Pass","Fail"))</f>
        <v/>
      </c>
      <c r="Z121" s="31" t="str">
        <f aca="false">IF($A121="","",IF(AND(IFERROR(MATCH(J121,Settings!$A$10:$A$14,0),0)&gt;=MATCH(Settings!$B$4,Settings!$A$10:$A$14,0),K121="Yes",L121="Yes"),"Pass","Fail"))</f>
        <v/>
      </c>
      <c r="AA121" s="31" t="str">
        <f aca="false">IF($A121="","",IF(COUNTIF(M121:P121,"Yes")=4,"Pass","Fail"))</f>
        <v/>
      </c>
      <c r="AB121" s="31" t="str">
        <f aca="false">IF($A121="","",SUM(Q121:U121))</f>
        <v/>
      </c>
      <c r="AC121" s="31" t="str">
        <f aca="false">IF($A121="","",IF(OR(Y121="Fail",X121="Yes",V121&lt;&gt;"Yes"),"Not a fit",IF(OR(Z121="Fail",AA121="Fail"),"Development pathway",IF(AB121&gt;=Settings!$B$5,"Qualified: high intent",IF(AB121&gt;=Settings!$B$6,"Qualified: nurture","Development pathway")))))</f>
        <v/>
      </c>
      <c r="AD121" s="32"/>
    </row>
    <row r="122" customFormat="false" ht="15" hidden="false" customHeight="false" outlineLevel="0" collapsed="false">
      <c r="A122" s="29"/>
      <c r="B122" s="29"/>
      <c r="C122" s="29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1" t="str">
        <f aca="false">IF($A122="","",IF(COUNTIF(F122:I122,"Yes")=4,"Pass","Fail"))</f>
        <v/>
      </c>
      <c r="Z122" s="31" t="str">
        <f aca="false">IF($A122="","",IF(AND(IFERROR(MATCH(J122,Settings!$A$10:$A$14,0),0)&gt;=MATCH(Settings!$B$4,Settings!$A$10:$A$14,0),K122="Yes",L122="Yes"),"Pass","Fail"))</f>
        <v/>
      </c>
      <c r="AA122" s="31" t="str">
        <f aca="false">IF($A122="","",IF(COUNTIF(M122:P122,"Yes")=4,"Pass","Fail"))</f>
        <v/>
      </c>
      <c r="AB122" s="31" t="str">
        <f aca="false">IF($A122="","",SUM(Q122:U122))</f>
        <v/>
      </c>
      <c r="AC122" s="31" t="str">
        <f aca="false">IF($A122="","",IF(OR(Y122="Fail",X122="Yes",V122&lt;&gt;"Yes"),"Not a fit",IF(OR(Z122="Fail",AA122="Fail"),"Development pathway",IF(AB122&gt;=Settings!$B$5,"Qualified: high intent",IF(AB122&gt;=Settings!$B$6,"Qualified: nurture","Development pathway")))))</f>
        <v/>
      </c>
      <c r="AD122" s="32"/>
    </row>
    <row r="123" customFormat="false" ht="15" hidden="false" customHeight="false" outlineLevel="0" collapsed="false">
      <c r="A123" s="29"/>
      <c r="B123" s="29"/>
      <c r="C123" s="29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1" t="str">
        <f aca="false">IF($A123="","",IF(COUNTIF(F123:I123,"Yes")=4,"Pass","Fail"))</f>
        <v/>
      </c>
      <c r="Z123" s="31" t="str">
        <f aca="false">IF($A123="","",IF(AND(IFERROR(MATCH(J123,Settings!$A$10:$A$14,0),0)&gt;=MATCH(Settings!$B$4,Settings!$A$10:$A$14,0),K123="Yes",L123="Yes"),"Pass","Fail"))</f>
        <v/>
      </c>
      <c r="AA123" s="31" t="str">
        <f aca="false">IF($A123="","",IF(COUNTIF(M123:P123,"Yes")=4,"Pass","Fail"))</f>
        <v/>
      </c>
      <c r="AB123" s="31" t="str">
        <f aca="false">IF($A123="","",SUM(Q123:U123))</f>
        <v/>
      </c>
      <c r="AC123" s="31" t="str">
        <f aca="false">IF($A123="","",IF(OR(Y123="Fail",X123="Yes",V123&lt;&gt;"Yes"),"Not a fit",IF(OR(Z123="Fail",AA123="Fail"),"Development pathway",IF(AB123&gt;=Settings!$B$5,"Qualified: high intent",IF(AB123&gt;=Settings!$B$6,"Qualified: nurture","Development pathway")))))</f>
        <v/>
      </c>
      <c r="AD123" s="32"/>
    </row>
    <row r="124" customFormat="false" ht="15" hidden="false" customHeight="false" outlineLevel="0" collapsed="false">
      <c r="A124" s="29"/>
      <c r="B124" s="29"/>
      <c r="C124" s="29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1" t="str">
        <f aca="false">IF($A124="","",IF(COUNTIF(F124:I124,"Yes")=4,"Pass","Fail"))</f>
        <v/>
      </c>
      <c r="Z124" s="31" t="str">
        <f aca="false">IF($A124="","",IF(AND(IFERROR(MATCH(J124,Settings!$A$10:$A$14,0),0)&gt;=MATCH(Settings!$B$4,Settings!$A$10:$A$14,0),K124="Yes",L124="Yes"),"Pass","Fail"))</f>
        <v/>
      </c>
      <c r="AA124" s="31" t="str">
        <f aca="false">IF($A124="","",IF(COUNTIF(M124:P124,"Yes")=4,"Pass","Fail"))</f>
        <v/>
      </c>
      <c r="AB124" s="31" t="str">
        <f aca="false">IF($A124="","",SUM(Q124:U124))</f>
        <v/>
      </c>
      <c r="AC124" s="31" t="str">
        <f aca="false">IF($A124="","",IF(OR(Y124="Fail",X124="Yes",V124&lt;&gt;"Yes"),"Not a fit",IF(OR(Z124="Fail",AA124="Fail"),"Development pathway",IF(AB124&gt;=Settings!$B$5,"Qualified: high intent",IF(AB124&gt;=Settings!$B$6,"Qualified: nurture","Development pathway")))))</f>
        <v/>
      </c>
      <c r="AD124" s="32"/>
    </row>
    <row r="125" customFormat="false" ht="15" hidden="false" customHeight="false" outlineLevel="0" collapsed="false">
      <c r="A125" s="29"/>
      <c r="B125" s="29"/>
      <c r="C125" s="29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1" t="str">
        <f aca="false">IF($A125="","",IF(COUNTIF(F125:I125,"Yes")=4,"Pass","Fail"))</f>
        <v/>
      </c>
      <c r="Z125" s="31" t="str">
        <f aca="false">IF($A125="","",IF(AND(IFERROR(MATCH(J125,Settings!$A$10:$A$14,0),0)&gt;=MATCH(Settings!$B$4,Settings!$A$10:$A$14,0),K125="Yes",L125="Yes"),"Pass","Fail"))</f>
        <v/>
      </c>
      <c r="AA125" s="31" t="str">
        <f aca="false">IF($A125="","",IF(COUNTIF(M125:P125,"Yes")=4,"Pass","Fail"))</f>
        <v/>
      </c>
      <c r="AB125" s="31" t="str">
        <f aca="false">IF($A125="","",SUM(Q125:U125))</f>
        <v/>
      </c>
      <c r="AC125" s="31" t="str">
        <f aca="false">IF($A125="","",IF(OR(Y125="Fail",X125="Yes",V125&lt;&gt;"Yes"),"Not a fit",IF(OR(Z125="Fail",AA125="Fail"),"Development pathway",IF(AB125&gt;=Settings!$B$5,"Qualified: high intent",IF(AB125&gt;=Settings!$B$6,"Qualified: nurture","Development pathway")))))</f>
        <v/>
      </c>
      <c r="AD125" s="32"/>
    </row>
    <row r="126" customFormat="false" ht="15" hidden="false" customHeight="false" outlineLevel="0" collapsed="false">
      <c r="A126" s="29"/>
      <c r="B126" s="29"/>
      <c r="C126" s="29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1" t="str">
        <f aca="false">IF($A126="","",IF(COUNTIF(F126:I126,"Yes")=4,"Pass","Fail"))</f>
        <v/>
      </c>
      <c r="Z126" s="31" t="str">
        <f aca="false">IF($A126="","",IF(AND(IFERROR(MATCH(J126,Settings!$A$10:$A$14,0),0)&gt;=MATCH(Settings!$B$4,Settings!$A$10:$A$14,0),K126="Yes",L126="Yes"),"Pass","Fail"))</f>
        <v/>
      </c>
      <c r="AA126" s="31" t="str">
        <f aca="false">IF($A126="","",IF(COUNTIF(M126:P126,"Yes")=4,"Pass","Fail"))</f>
        <v/>
      </c>
      <c r="AB126" s="31" t="str">
        <f aca="false">IF($A126="","",SUM(Q126:U126))</f>
        <v/>
      </c>
      <c r="AC126" s="31" t="str">
        <f aca="false">IF($A126="","",IF(OR(Y126="Fail",X126="Yes",V126&lt;&gt;"Yes"),"Not a fit",IF(OR(Z126="Fail",AA126="Fail"),"Development pathway",IF(AB126&gt;=Settings!$B$5,"Qualified: high intent",IF(AB126&gt;=Settings!$B$6,"Qualified: nurture","Development pathway")))))</f>
        <v/>
      </c>
      <c r="AD126" s="32"/>
    </row>
    <row r="127" customFormat="false" ht="15" hidden="false" customHeight="false" outlineLevel="0" collapsed="false">
      <c r="A127" s="29"/>
      <c r="B127" s="29"/>
      <c r="C127" s="29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1" t="str">
        <f aca="false">IF($A127="","",IF(COUNTIF(F127:I127,"Yes")=4,"Pass","Fail"))</f>
        <v/>
      </c>
      <c r="Z127" s="31" t="str">
        <f aca="false">IF($A127="","",IF(AND(IFERROR(MATCH(J127,Settings!$A$10:$A$14,0),0)&gt;=MATCH(Settings!$B$4,Settings!$A$10:$A$14,0),K127="Yes",L127="Yes"),"Pass","Fail"))</f>
        <v/>
      </c>
      <c r="AA127" s="31" t="str">
        <f aca="false">IF($A127="","",IF(COUNTIF(M127:P127,"Yes")=4,"Pass","Fail"))</f>
        <v/>
      </c>
      <c r="AB127" s="31" t="str">
        <f aca="false">IF($A127="","",SUM(Q127:U127))</f>
        <v/>
      </c>
      <c r="AC127" s="31" t="str">
        <f aca="false">IF($A127="","",IF(OR(Y127="Fail",X127="Yes",V127&lt;&gt;"Yes"),"Not a fit",IF(OR(Z127="Fail",AA127="Fail"),"Development pathway",IF(AB127&gt;=Settings!$B$5,"Qualified: high intent",IF(AB127&gt;=Settings!$B$6,"Qualified: nurture","Development pathway")))))</f>
        <v/>
      </c>
      <c r="AD127" s="32"/>
    </row>
    <row r="128" customFormat="false" ht="15" hidden="false" customHeight="false" outlineLevel="0" collapsed="false">
      <c r="A128" s="29"/>
      <c r="B128" s="29"/>
      <c r="C128" s="29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1" t="str">
        <f aca="false">IF($A128="","",IF(COUNTIF(F128:I128,"Yes")=4,"Pass","Fail"))</f>
        <v/>
      </c>
      <c r="Z128" s="31" t="str">
        <f aca="false">IF($A128="","",IF(AND(IFERROR(MATCH(J128,Settings!$A$10:$A$14,0),0)&gt;=MATCH(Settings!$B$4,Settings!$A$10:$A$14,0),K128="Yes",L128="Yes"),"Pass","Fail"))</f>
        <v/>
      </c>
      <c r="AA128" s="31" t="str">
        <f aca="false">IF($A128="","",IF(COUNTIF(M128:P128,"Yes")=4,"Pass","Fail"))</f>
        <v/>
      </c>
      <c r="AB128" s="31" t="str">
        <f aca="false">IF($A128="","",SUM(Q128:U128))</f>
        <v/>
      </c>
      <c r="AC128" s="31" t="str">
        <f aca="false">IF($A128="","",IF(OR(Y128="Fail",X128="Yes",V128&lt;&gt;"Yes"),"Not a fit",IF(OR(Z128="Fail",AA128="Fail"),"Development pathway",IF(AB128&gt;=Settings!$B$5,"Qualified: high intent",IF(AB128&gt;=Settings!$B$6,"Qualified: nurture","Development pathway")))))</f>
        <v/>
      </c>
      <c r="AD128" s="32"/>
    </row>
    <row r="129" customFormat="false" ht="15" hidden="false" customHeight="false" outlineLevel="0" collapsed="false">
      <c r="A129" s="29"/>
      <c r="B129" s="29"/>
      <c r="C129" s="29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1" t="str">
        <f aca="false">IF($A129="","",IF(COUNTIF(F129:I129,"Yes")=4,"Pass","Fail"))</f>
        <v/>
      </c>
      <c r="Z129" s="31" t="str">
        <f aca="false">IF($A129="","",IF(AND(IFERROR(MATCH(J129,Settings!$A$10:$A$14,0),0)&gt;=MATCH(Settings!$B$4,Settings!$A$10:$A$14,0),K129="Yes",L129="Yes"),"Pass","Fail"))</f>
        <v/>
      </c>
      <c r="AA129" s="31" t="str">
        <f aca="false">IF($A129="","",IF(COUNTIF(M129:P129,"Yes")=4,"Pass","Fail"))</f>
        <v/>
      </c>
      <c r="AB129" s="31" t="str">
        <f aca="false">IF($A129="","",SUM(Q129:U129))</f>
        <v/>
      </c>
      <c r="AC129" s="31" t="str">
        <f aca="false">IF($A129="","",IF(OR(Y129="Fail",X129="Yes",V129&lt;&gt;"Yes"),"Not a fit",IF(OR(Z129="Fail",AA129="Fail"),"Development pathway",IF(AB129&gt;=Settings!$B$5,"Qualified: high intent",IF(AB129&gt;=Settings!$B$6,"Qualified: nurture","Development pathway")))))</f>
        <v/>
      </c>
      <c r="AD129" s="32"/>
    </row>
    <row r="130" customFormat="false" ht="15" hidden="false" customHeight="false" outlineLevel="0" collapsed="false">
      <c r="A130" s="29"/>
      <c r="B130" s="29"/>
      <c r="C130" s="29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1" t="str">
        <f aca="false">IF($A130="","",IF(COUNTIF(F130:I130,"Yes")=4,"Pass","Fail"))</f>
        <v/>
      </c>
      <c r="Z130" s="31" t="str">
        <f aca="false">IF($A130="","",IF(AND(IFERROR(MATCH(J130,Settings!$A$10:$A$14,0),0)&gt;=MATCH(Settings!$B$4,Settings!$A$10:$A$14,0),K130="Yes",L130="Yes"),"Pass","Fail"))</f>
        <v/>
      </c>
      <c r="AA130" s="31" t="str">
        <f aca="false">IF($A130="","",IF(COUNTIF(M130:P130,"Yes")=4,"Pass","Fail"))</f>
        <v/>
      </c>
      <c r="AB130" s="31" t="str">
        <f aca="false">IF($A130="","",SUM(Q130:U130))</f>
        <v/>
      </c>
      <c r="AC130" s="31" t="str">
        <f aca="false">IF($A130="","",IF(OR(Y130="Fail",X130="Yes",V130&lt;&gt;"Yes"),"Not a fit",IF(OR(Z130="Fail",AA130="Fail"),"Development pathway",IF(AB130&gt;=Settings!$B$5,"Qualified: high intent",IF(AB130&gt;=Settings!$B$6,"Qualified: nurture","Development pathway")))))</f>
        <v/>
      </c>
      <c r="AD130" s="32"/>
    </row>
    <row r="131" customFormat="false" ht="15" hidden="false" customHeight="false" outlineLevel="0" collapsed="false">
      <c r="A131" s="29"/>
      <c r="B131" s="29"/>
      <c r="C131" s="29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1" t="str">
        <f aca="false">IF($A131="","",IF(COUNTIF(F131:I131,"Yes")=4,"Pass","Fail"))</f>
        <v/>
      </c>
      <c r="Z131" s="31" t="str">
        <f aca="false">IF($A131="","",IF(AND(IFERROR(MATCH(J131,Settings!$A$10:$A$14,0),0)&gt;=MATCH(Settings!$B$4,Settings!$A$10:$A$14,0),K131="Yes",L131="Yes"),"Pass","Fail"))</f>
        <v/>
      </c>
      <c r="AA131" s="31" t="str">
        <f aca="false">IF($A131="","",IF(COUNTIF(M131:P131,"Yes")=4,"Pass","Fail"))</f>
        <v/>
      </c>
      <c r="AB131" s="31" t="str">
        <f aca="false">IF($A131="","",SUM(Q131:U131))</f>
        <v/>
      </c>
      <c r="AC131" s="31" t="str">
        <f aca="false">IF($A131="","",IF(OR(Y131="Fail",X131="Yes",V131&lt;&gt;"Yes"),"Not a fit",IF(OR(Z131="Fail",AA131="Fail"),"Development pathway",IF(AB131&gt;=Settings!$B$5,"Qualified: high intent",IF(AB131&gt;=Settings!$B$6,"Qualified: nurture","Development pathway")))))</f>
        <v/>
      </c>
      <c r="AD131" s="32"/>
    </row>
    <row r="132" customFormat="false" ht="15" hidden="false" customHeight="false" outlineLevel="0" collapsed="false">
      <c r="A132" s="29"/>
      <c r="B132" s="29"/>
      <c r="C132" s="29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1" t="str">
        <f aca="false">IF($A132="","",IF(COUNTIF(F132:I132,"Yes")=4,"Pass","Fail"))</f>
        <v/>
      </c>
      <c r="Z132" s="31" t="str">
        <f aca="false">IF($A132="","",IF(AND(IFERROR(MATCH(J132,Settings!$A$10:$A$14,0),0)&gt;=MATCH(Settings!$B$4,Settings!$A$10:$A$14,0),K132="Yes",L132="Yes"),"Pass","Fail"))</f>
        <v/>
      </c>
      <c r="AA132" s="31" t="str">
        <f aca="false">IF($A132="","",IF(COUNTIF(M132:P132,"Yes")=4,"Pass","Fail"))</f>
        <v/>
      </c>
      <c r="AB132" s="31" t="str">
        <f aca="false">IF($A132="","",SUM(Q132:U132))</f>
        <v/>
      </c>
      <c r="AC132" s="31" t="str">
        <f aca="false">IF($A132="","",IF(OR(Y132="Fail",X132="Yes",V132&lt;&gt;"Yes"),"Not a fit",IF(OR(Z132="Fail",AA132="Fail"),"Development pathway",IF(AB132&gt;=Settings!$B$5,"Qualified: high intent",IF(AB132&gt;=Settings!$B$6,"Qualified: nurture","Development pathway")))))</f>
        <v/>
      </c>
      <c r="AD132" s="32"/>
    </row>
    <row r="133" customFormat="false" ht="15" hidden="false" customHeight="false" outlineLevel="0" collapsed="false">
      <c r="A133" s="29"/>
      <c r="B133" s="29"/>
      <c r="C133" s="29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1" t="str">
        <f aca="false">IF($A133="","",IF(COUNTIF(F133:I133,"Yes")=4,"Pass","Fail"))</f>
        <v/>
      </c>
      <c r="Z133" s="31" t="str">
        <f aca="false">IF($A133="","",IF(AND(IFERROR(MATCH(J133,Settings!$A$10:$A$14,0),0)&gt;=MATCH(Settings!$B$4,Settings!$A$10:$A$14,0),K133="Yes",L133="Yes"),"Pass","Fail"))</f>
        <v/>
      </c>
      <c r="AA133" s="31" t="str">
        <f aca="false">IF($A133="","",IF(COUNTIF(M133:P133,"Yes")=4,"Pass","Fail"))</f>
        <v/>
      </c>
      <c r="AB133" s="31" t="str">
        <f aca="false">IF($A133="","",SUM(Q133:U133))</f>
        <v/>
      </c>
      <c r="AC133" s="31" t="str">
        <f aca="false">IF($A133="","",IF(OR(Y133="Fail",X133="Yes",V133&lt;&gt;"Yes"),"Not a fit",IF(OR(Z133="Fail",AA133="Fail"),"Development pathway",IF(AB133&gt;=Settings!$B$5,"Qualified: high intent",IF(AB133&gt;=Settings!$B$6,"Qualified: nurture","Development pathway")))))</f>
        <v/>
      </c>
      <c r="AD133" s="32"/>
    </row>
    <row r="134" customFormat="false" ht="15" hidden="false" customHeight="false" outlineLevel="0" collapsed="false">
      <c r="A134" s="29"/>
      <c r="B134" s="29"/>
      <c r="C134" s="29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1" t="str">
        <f aca="false">IF($A134="","",IF(COUNTIF(F134:I134,"Yes")=4,"Pass","Fail"))</f>
        <v/>
      </c>
      <c r="Z134" s="31" t="str">
        <f aca="false">IF($A134="","",IF(AND(IFERROR(MATCH(J134,Settings!$A$10:$A$14,0),0)&gt;=MATCH(Settings!$B$4,Settings!$A$10:$A$14,0),K134="Yes",L134="Yes"),"Pass","Fail"))</f>
        <v/>
      </c>
      <c r="AA134" s="31" t="str">
        <f aca="false">IF($A134="","",IF(COUNTIF(M134:P134,"Yes")=4,"Pass","Fail"))</f>
        <v/>
      </c>
      <c r="AB134" s="31" t="str">
        <f aca="false">IF($A134="","",SUM(Q134:U134))</f>
        <v/>
      </c>
      <c r="AC134" s="31" t="str">
        <f aca="false">IF($A134="","",IF(OR(Y134="Fail",X134="Yes",V134&lt;&gt;"Yes"),"Not a fit",IF(OR(Z134="Fail",AA134="Fail"),"Development pathway",IF(AB134&gt;=Settings!$B$5,"Qualified: high intent",IF(AB134&gt;=Settings!$B$6,"Qualified: nurture","Development pathway")))))</f>
        <v/>
      </c>
      <c r="AD134" s="32"/>
    </row>
    <row r="135" customFormat="false" ht="15" hidden="false" customHeight="false" outlineLevel="0" collapsed="false">
      <c r="A135" s="29"/>
      <c r="B135" s="29"/>
      <c r="C135" s="29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1" t="str">
        <f aca="false">IF($A135="","",IF(COUNTIF(F135:I135,"Yes")=4,"Pass","Fail"))</f>
        <v/>
      </c>
      <c r="Z135" s="31" t="str">
        <f aca="false">IF($A135="","",IF(AND(IFERROR(MATCH(J135,Settings!$A$10:$A$14,0),0)&gt;=MATCH(Settings!$B$4,Settings!$A$10:$A$14,0),K135="Yes",L135="Yes"),"Pass","Fail"))</f>
        <v/>
      </c>
      <c r="AA135" s="31" t="str">
        <f aca="false">IF($A135="","",IF(COUNTIF(M135:P135,"Yes")=4,"Pass","Fail"))</f>
        <v/>
      </c>
      <c r="AB135" s="31" t="str">
        <f aca="false">IF($A135="","",SUM(Q135:U135))</f>
        <v/>
      </c>
      <c r="AC135" s="31" t="str">
        <f aca="false">IF($A135="","",IF(OR(Y135="Fail",X135="Yes",V135&lt;&gt;"Yes"),"Not a fit",IF(OR(Z135="Fail",AA135="Fail"),"Development pathway",IF(AB135&gt;=Settings!$B$5,"Qualified: high intent",IF(AB135&gt;=Settings!$B$6,"Qualified: nurture","Development pathway")))))</f>
        <v/>
      </c>
      <c r="AD135" s="32"/>
    </row>
    <row r="136" customFormat="false" ht="15" hidden="false" customHeight="false" outlineLevel="0" collapsed="false">
      <c r="A136" s="29"/>
      <c r="B136" s="29"/>
      <c r="C136" s="29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1" t="str">
        <f aca="false">IF($A136="","",IF(COUNTIF(F136:I136,"Yes")=4,"Pass","Fail"))</f>
        <v/>
      </c>
      <c r="Z136" s="31" t="str">
        <f aca="false">IF($A136="","",IF(AND(IFERROR(MATCH(J136,Settings!$A$10:$A$14,0),0)&gt;=MATCH(Settings!$B$4,Settings!$A$10:$A$14,0),K136="Yes",L136="Yes"),"Pass","Fail"))</f>
        <v/>
      </c>
      <c r="AA136" s="31" t="str">
        <f aca="false">IF($A136="","",IF(COUNTIF(M136:P136,"Yes")=4,"Pass","Fail"))</f>
        <v/>
      </c>
      <c r="AB136" s="31" t="str">
        <f aca="false">IF($A136="","",SUM(Q136:U136))</f>
        <v/>
      </c>
      <c r="AC136" s="31" t="str">
        <f aca="false">IF($A136="","",IF(OR(Y136="Fail",X136="Yes",V136&lt;&gt;"Yes"),"Not a fit",IF(OR(Z136="Fail",AA136="Fail"),"Development pathway",IF(AB136&gt;=Settings!$B$5,"Qualified: high intent",IF(AB136&gt;=Settings!$B$6,"Qualified: nurture","Development pathway")))))</f>
        <v/>
      </c>
      <c r="AD136" s="32"/>
    </row>
    <row r="137" customFormat="false" ht="15" hidden="false" customHeight="false" outlineLevel="0" collapsed="false">
      <c r="A137" s="29"/>
      <c r="B137" s="29"/>
      <c r="C137" s="29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1" t="str">
        <f aca="false">IF($A137="","",IF(COUNTIF(F137:I137,"Yes")=4,"Pass","Fail"))</f>
        <v/>
      </c>
      <c r="Z137" s="31" t="str">
        <f aca="false">IF($A137="","",IF(AND(IFERROR(MATCH(J137,Settings!$A$10:$A$14,0),0)&gt;=MATCH(Settings!$B$4,Settings!$A$10:$A$14,0),K137="Yes",L137="Yes"),"Pass","Fail"))</f>
        <v/>
      </c>
      <c r="AA137" s="31" t="str">
        <f aca="false">IF($A137="","",IF(COUNTIF(M137:P137,"Yes")=4,"Pass","Fail"))</f>
        <v/>
      </c>
      <c r="AB137" s="31" t="str">
        <f aca="false">IF($A137="","",SUM(Q137:U137))</f>
        <v/>
      </c>
      <c r="AC137" s="31" t="str">
        <f aca="false">IF($A137="","",IF(OR(Y137="Fail",X137="Yes",V137&lt;&gt;"Yes"),"Not a fit",IF(OR(Z137="Fail",AA137="Fail"),"Development pathway",IF(AB137&gt;=Settings!$B$5,"Qualified: high intent",IF(AB137&gt;=Settings!$B$6,"Qualified: nurture","Development pathway")))))</f>
        <v/>
      </c>
      <c r="AD137" s="32"/>
    </row>
    <row r="138" customFormat="false" ht="15" hidden="false" customHeight="false" outlineLevel="0" collapsed="false">
      <c r="A138" s="29"/>
      <c r="B138" s="29"/>
      <c r="C138" s="29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1" t="str">
        <f aca="false">IF($A138="","",IF(COUNTIF(F138:I138,"Yes")=4,"Pass","Fail"))</f>
        <v/>
      </c>
      <c r="Z138" s="31" t="str">
        <f aca="false">IF($A138="","",IF(AND(IFERROR(MATCH(J138,Settings!$A$10:$A$14,0),0)&gt;=MATCH(Settings!$B$4,Settings!$A$10:$A$14,0),K138="Yes",L138="Yes"),"Pass","Fail"))</f>
        <v/>
      </c>
      <c r="AA138" s="31" t="str">
        <f aca="false">IF($A138="","",IF(COUNTIF(M138:P138,"Yes")=4,"Pass","Fail"))</f>
        <v/>
      </c>
      <c r="AB138" s="31" t="str">
        <f aca="false">IF($A138="","",SUM(Q138:U138))</f>
        <v/>
      </c>
      <c r="AC138" s="31" t="str">
        <f aca="false">IF($A138="","",IF(OR(Y138="Fail",X138="Yes",V138&lt;&gt;"Yes"),"Not a fit",IF(OR(Z138="Fail",AA138="Fail"),"Development pathway",IF(AB138&gt;=Settings!$B$5,"Qualified: high intent",IF(AB138&gt;=Settings!$B$6,"Qualified: nurture","Development pathway")))))</f>
        <v/>
      </c>
      <c r="AD138" s="32"/>
    </row>
    <row r="139" customFormat="false" ht="15" hidden="false" customHeight="false" outlineLevel="0" collapsed="false">
      <c r="A139" s="29"/>
      <c r="B139" s="29"/>
      <c r="C139" s="29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1" t="str">
        <f aca="false">IF($A139="","",IF(COUNTIF(F139:I139,"Yes")=4,"Pass","Fail"))</f>
        <v/>
      </c>
      <c r="Z139" s="31" t="str">
        <f aca="false">IF($A139="","",IF(AND(IFERROR(MATCH(J139,Settings!$A$10:$A$14,0),0)&gt;=MATCH(Settings!$B$4,Settings!$A$10:$A$14,0),K139="Yes",L139="Yes"),"Pass","Fail"))</f>
        <v/>
      </c>
      <c r="AA139" s="31" t="str">
        <f aca="false">IF($A139="","",IF(COUNTIF(M139:P139,"Yes")=4,"Pass","Fail"))</f>
        <v/>
      </c>
      <c r="AB139" s="31" t="str">
        <f aca="false">IF($A139="","",SUM(Q139:U139))</f>
        <v/>
      </c>
      <c r="AC139" s="31" t="str">
        <f aca="false">IF($A139="","",IF(OR(Y139="Fail",X139="Yes",V139&lt;&gt;"Yes"),"Not a fit",IF(OR(Z139="Fail",AA139="Fail"),"Development pathway",IF(AB139&gt;=Settings!$B$5,"Qualified: high intent",IF(AB139&gt;=Settings!$B$6,"Qualified: nurture","Development pathway")))))</f>
        <v/>
      </c>
      <c r="AD139" s="32"/>
    </row>
    <row r="140" customFormat="false" ht="15" hidden="false" customHeight="false" outlineLevel="0" collapsed="false">
      <c r="A140" s="29"/>
      <c r="B140" s="29"/>
      <c r="C140" s="29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1" t="str">
        <f aca="false">IF($A140="","",IF(COUNTIF(F140:I140,"Yes")=4,"Pass","Fail"))</f>
        <v/>
      </c>
      <c r="Z140" s="31" t="str">
        <f aca="false">IF($A140="","",IF(AND(IFERROR(MATCH(J140,Settings!$A$10:$A$14,0),0)&gt;=MATCH(Settings!$B$4,Settings!$A$10:$A$14,0),K140="Yes",L140="Yes"),"Pass","Fail"))</f>
        <v/>
      </c>
      <c r="AA140" s="31" t="str">
        <f aca="false">IF($A140="","",IF(COUNTIF(M140:P140,"Yes")=4,"Pass","Fail"))</f>
        <v/>
      </c>
      <c r="AB140" s="31" t="str">
        <f aca="false">IF($A140="","",SUM(Q140:U140))</f>
        <v/>
      </c>
      <c r="AC140" s="31" t="str">
        <f aca="false">IF($A140="","",IF(OR(Y140="Fail",X140="Yes",V140&lt;&gt;"Yes"),"Not a fit",IF(OR(Z140="Fail",AA140="Fail"),"Development pathway",IF(AB140&gt;=Settings!$B$5,"Qualified: high intent",IF(AB140&gt;=Settings!$B$6,"Qualified: nurture","Development pathway")))))</f>
        <v/>
      </c>
      <c r="AD140" s="32"/>
    </row>
    <row r="141" customFormat="false" ht="15" hidden="false" customHeight="false" outlineLevel="0" collapsed="false">
      <c r="A141" s="29"/>
      <c r="B141" s="29"/>
      <c r="C141" s="29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1" t="str">
        <f aca="false">IF($A141="","",IF(COUNTIF(F141:I141,"Yes")=4,"Pass","Fail"))</f>
        <v/>
      </c>
      <c r="Z141" s="31" t="str">
        <f aca="false">IF($A141="","",IF(AND(IFERROR(MATCH(J141,Settings!$A$10:$A$14,0),0)&gt;=MATCH(Settings!$B$4,Settings!$A$10:$A$14,0),K141="Yes",L141="Yes"),"Pass","Fail"))</f>
        <v/>
      </c>
      <c r="AA141" s="31" t="str">
        <f aca="false">IF($A141="","",IF(COUNTIF(M141:P141,"Yes")=4,"Pass","Fail"))</f>
        <v/>
      </c>
      <c r="AB141" s="31" t="str">
        <f aca="false">IF($A141="","",SUM(Q141:U141))</f>
        <v/>
      </c>
      <c r="AC141" s="31" t="str">
        <f aca="false">IF($A141="","",IF(OR(Y141="Fail",X141="Yes",V141&lt;&gt;"Yes"),"Not a fit",IF(OR(Z141="Fail",AA141="Fail"),"Development pathway",IF(AB141&gt;=Settings!$B$5,"Qualified: high intent",IF(AB141&gt;=Settings!$B$6,"Qualified: nurture","Development pathway")))))</f>
        <v/>
      </c>
      <c r="AD141" s="32"/>
    </row>
    <row r="142" customFormat="false" ht="15" hidden="false" customHeight="false" outlineLevel="0" collapsed="false">
      <c r="A142" s="29"/>
      <c r="B142" s="29"/>
      <c r="C142" s="29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1" t="str">
        <f aca="false">IF($A142="","",IF(COUNTIF(F142:I142,"Yes")=4,"Pass","Fail"))</f>
        <v/>
      </c>
      <c r="Z142" s="31" t="str">
        <f aca="false">IF($A142="","",IF(AND(IFERROR(MATCH(J142,Settings!$A$10:$A$14,0),0)&gt;=MATCH(Settings!$B$4,Settings!$A$10:$A$14,0),K142="Yes",L142="Yes"),"Pass","Fail"))</f>
        <v/>
      </c>
      <c r="AA142" s="31" t="str">
        <f aca="false">IF($A142="","",IF(COUNTIF(M142:P142,"Yes")=4,"Pass","Fail"))</f>
        <v/>
      </c>
      <c r="AB142" s="31" t="str">
        <f aca="false">IF($A142="","",SUM(Q142:U142))</f>
        <v/>
      </c>
      <c r="AC142" s="31" t="str">
        <f aca="false">IF($A142="","",IF(OR(Y142="Fail",X142="Yes",V142&lt;&gt;"Yes"),"Not a fit",IF(OR(Z142="Fail",AA142="Fail"),"Development pathway",IF(AB142&gt;=Settings!$B$5,"Qualified: high intent",IF(AB142&gt;=Settings!$B$6,"Qualified: nurture","Development pathway")))))</f>
        <v/>
      </c>
      <c r="AD142" s="32"/>
    </row>
    <row r="143" customFormat="false" ht="15" hidden="false" customHeight="false" outlineLevel="0" collapsed="false">
      <c r="A143" s="29"/>
      <c r="B143" s="29"/>
      <c r="C143" s="29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1" t="str">
        <f aca="false">IF($A143="","",IF(COUNTIF(F143:I143,"Yes")=4,"Pass","Fail"))</f>
        <v/>
      </c>
      <c r="Z143" s="31" t="str">
        <f aca="false">IF($A143="","",IF(AND(IFERROR(MATCH(J143,Settings!$A$10:$A$14,0),0)&gt;=MATCH(Settings!$B$4,Settings!$A$10:$A$14,0),K143="Yes",L143="Yes"),"Pass","Fail"))</f>
        <v/>
      </c>
      <c r="AA143" s="31" t="str">
        <f aca="false">IF($A143="","",IF(COUNTIF(M143:P143,"Yes")=4,"Pass","Fail"))</f>
        <v/>
      </c>
      <c r="AB143" s="31" t="str">
        <f aca="false">IF($A143="","",SUM(Q143:U143))</f>
        <v/>
      </c>
      <c r="AC143" s="31" t="str">
        <f aca="false">IF($A143="","",IF(OR(Y143="Fail",X143="Yes",V143&lt;&gt;"Yes"),"Not a fit",IF(OR(Z143="Fail",AA143="Fail"),"Development pathway",IF(AB143&gt;=Settings!$B$5,"Qualified: high intent",IF(AB143&gt;=Settings!$B$6,"Qualified: nurture","Development pathway")))))</f>
        <v/>
      </c>
      <c r="AD143" s="32"/>
    </row>
    <row r="144" customFormat="false" ht="15" hidden="false" customHeight="false" outlineLevel="0" collapsed="false">
      <c r="A144" s="29"/>
      <c r="B144" s="29"/>
      <c r="C144" s="29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1" t="str">
        <f aca="false">IF($A144="","",IF(COUNTIF(F144:I144,"Yes")=4,"Pass","Fail"))</f>
        <v/>
      </c>
      <c r="Z144" s="31" t="str">
        <f aca="false">IF($A144="","",IF(AND(IFERROR(MATCH(J144,Settings!$A$10:$A$14,0),0)&gt;=MATCH(Settings!$B$4,Settings!$A$10:$A$14,0),K144="Yes",L144="Yes"),"Pass","Fail"))</f>
        <v/>
      </c>
      <c r="AA144" s="31" t="str">
        <f aca="false">IF($A144="","",IF(COUNTIF(M144:P144,"Yes")=4,"Pass","Fail"))</f>
        <v/>
      </c>
      <c r="AB144" s="31" t="str">
        <f aca="false">IF($A144="","",SUM(Q144:U144))</f>
        <v/>
      </c>
      <c r="AC144" s="31" t="str">
        <f aca="false">IF($A144="","",IF(OR(Y144="Fail",X144="Yes",V144&lt;&gt;"Yes"),"Not a fit",IF(OR(Z144="Fail",AA144="Fail"),"Development pathway",IF(AB144&gt;=Settings!$B$5,"Qualified: high intent",IF(AB144&gt;=Settings!$B$6,"Qualified: nurture","Development pathway")))))</f>
        <v/>
      </c>
      <c r="AD144" s="32"/>
    </row>
    <row r="145" customFormat="false" ht="15" hidden="false" customHeight="false" outlineLevel="0" collapsed="false">
      <c r="A145" s="29"/>
      <c r="B145" s="29"/>
      <c r="C145" s="29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1" t="str">
        <f aca="false">IF($A145="","",IF(COUNTIF(F145:I145,"Yes")=4,"Pass","Fail"))</f>
        <v/>
      </c>
      <c r="Z145" s="31" t="str">
        <f aca="false">IF($A145="","",IF(AND(IFERROR(MATCH(J145,Settings!$A$10:$A$14,0),0)&gt;=MATCH(Settings!$B$4,Settings!$A$10:$A$14,0),K145="Yes",L145="Yes"),"Pass","Fail"))</f>
        <v/>
      </c>
      <c r="AA145" s="31" t="str">
        <f aca="false">IF($A145="","",IF(COUNTIF(M145:P145,"Yes")=4,"Pass","Fail"))</f>
        <v/>
      </c>
      <c r="AB145" s="31" t="str">
        <f aca="false">IF($A145="","",SUM(Q145:U145))</f>
        <v/>
      </c>
      <c r="AC145" s="31" t="str">
        <f aca="false">IF($A145="","",IF(OR(Y145="Fail",X145="Yes",V145&lt;&gt;"Yes"),"Not a fit",IF(OR(Z145="Fail",AA145="Fail"),"Development pathway",IF(AB145&gt;=Settings!$B$5,"Qualified: high intent",IF(AB145&gt;=Settings!$B$6,"Qualified: nurture","Development pathway")))))</f>
        <v/>
      </c>
      <c r="AD145" s="32"/>
    </row>
    <row r="146" customFormat="false" ht="15" hidden="false" customHeight="false" outlineLevel="0" collapsed="false">
      <c r="A146" s="29"/>
      <c r="B146" s="29"/>
      <c r="C146" s="29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1" t="str">
        <f aca="false">IF($A146="","",IF(COUNTIF(F146:I146,"Yes")=4,"Pass","Fail"))</f>
        <v/>
      </c>
      <c r="Z146" s="31" t="str">
        <f aca="false">IF($A146="","",IF(AND(IFERROR(MATCH(J146,Settings!$A$10:$A$14,0),0)&gt;=MATCH(Settings!$B$4,Settings!$A$10:$A$14,0),K146="Yes",L146="Yes"),"Pass","Fail"))</f>
        <v/>
      </c>
      <c r="AA146" s="31" t="str">
        <f aca="false">IF($A146="","",IF(COUNTIF(M146:P146,"Yes")=4,"Pass","Fail"))</f>
        <v/>
      </c>
      <c r="AB146" s="31" t="str">
        <f aca="false">IF($A146="","",SUM(Q146:U146))</f>
        <v/>
      </c>
      <c r="AC146" s="31" t="str">
        <f aca="false">IF($A146="","",IF(OR(Y146="Fail",X146="Yes",V146&lt;&gt;"Yes"),"Not a fit",IF(OR(Z146="Fail",AA146="Fail"),"Development pathway",IF(AB146&gt;=Settings!$B$5,"Qualified: high intent",IF(AB146&gt;=Settings!$B$6,"Qualified: nurture","Development pathway")))))</f>
        <v/>
      </c>
      <c r="AD146" s="32"/>
    </row>
    <row r="147" customFormat="false" ht="15" hidden="false" customHeight="false" outlineLevel="0" collapsed="false">
      <c r="A147" s="29"/>
      <c r="B147" s="29"/>
      <c r="C147" s="29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1" t="str">
        <f aca="false">IF($A147="","",IF(COUNTIF(F147:I147,"Yes")=4,"Pass","Fail"))</f>
        <v/>
      </c>
      <c r="Z147" s="31" t="str">
        <f aca="false">IF($A147="","",IF(AND(IFERROR(MATCH(J147,Settings!$A$10:$A$14,0),0)&gt;=MATCH(Settings!$B$4,Settings!$A$10:$A$14,0),K147="Yes",L147="Yes"),"Pass","Fail"))</f>
        <v/>
      </c>
      <c r="AA147" s="31" t="str">
        <f aca="false">IF($A147="","",IF(COUNTIF(M147:P147,"Yes")=4,"Pass","Fail"))</f>
        <v/>
      </c>
      <c r="AB147" s="31" t="str">
        <f aca="false">IF($A147="","",SUM(Q147:U147))</f>
        <v/>
      </c>
      <c r="AC147" s="31" t="str">
        <f aca="false">IF($A147="","",IF(OR(Y147="Fail",X147="Yes",V147&lt;&gt;"Yes"),"Not a fit",IF(OR(Z147="Fail",AA147="Fail"),"Development pathway",IF(AB147&gt;=Settings!$B$5,"Qualified: high intent",IF(AB147&gt;=Settings!$B$6,"Qualified: nurture","Development pathway")))))</f>
        <v/>
      </c>
      <c r="AD147" s="32"/>
    </row>
    <row r="148" customFormat="false" ht="15" hidden="false" customHeight="false" outlineLevel="0" collapsed="false">
      <c r="A148" s="29"/>
      <c r="B148" s="29"/>
      <c r="C148" s="29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1" t="str">
        <f aca="false">IF($A148="","",IF(COUNTIF(F148:I148,"Yes")=4,"Pass","Fail"))</f>
        <v/>
      </c>
      <c r="Z148" s="31" t="str">
        <f aca="false">IF($A148="","",IF(AND(IFERROR(MATCH(J148,Settings!$A$10:$A$14,0),0)&gt;=MATCH(Settings!$B$4,Settings!$A$10:$A$14,0),K148="Yes",L148="Yes"),"Pass","Fail"))</f>
        <v/>
      </c>
      <c r="AA148" s="31" t="str">
        <f aca="false">IF($A148="","",IF(COUNTIF(M148:P148,"Yes")=4,"Pass","Fail"))</f>
        <v/>
      </c>
      <c r="AB148" s="31" t="str">
        <f aca="false">IF($A148="","",SUM(Q148:U148))</f>
        <v/>
      </c>
      <c r="AC148" s="31" t="str">
        <f aca="false">IF($A148="","",IF(OR(Y148="Fail",X148="Yes",V148&lt;&gt;"Yes"),"Not a fit",IF(OR(Z148="Fail",AA148="Fail"),"Development pathway",IF(AB148&gt;=Settings!$B$5,"Qualified: high intent",IF(AB148&gt;=Settings!$B$6,"Qualified: nurture","Development pathway")))))</f>
        <v/>
      </c>
      <c r="AD148" s="32"/>
    </row>
    <row r="149" customFormat="false" ht="15" hidden="false" customHeight="false" outlineLevel="0" collapsed="false">
      <c r="A149" s="29"/>
      <c r="B149" s="29"/>
      <c r="C149" s="29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1" t="str">
        <f aca="false">IF($A149="","",IF(COUNTIF(F149:I149,"Yes")=4,"Pass","Fail"))</f>
        <v/>
      </c>
      <c r="Z149" s="31" t="str">
        <f aca="false">IF($A149="","",IF(AND(IFERROR(MATCH(J149,Settings!$A$10:$A$14,0),0)&gt;=MATCH(Settings!$B$4,Settings!$A$10:$A$14,0),K149="Yes",L149="Yes"),"Pass","Fail"))</f>
        <v/>
      </c>
      <c r="AA149" s="31" t="str">
        <f aca="false">IF($A149="","",IF(COUNTIF(M149:P149,"Yes")=4,"Pass","Fail"))</f>
        <v/>
      </c>
      <c r="AB149" s="31" t="str">
        <f aca="false">IF($A149="","",SUM(Q149:U149))</f>
        <v/>
      </c>
      <c r="AC149" s="31" t="str">
        <f aca="false">IF($A149="","",IF(OR(Y149="Fail",X149="Yes",V149&lt;&gt;"Yes"),"Not a fit",IF(OR(Z149="Fail",AA149="Fail"),"Development pathway",IF(AB149&gt;=Settings!$B$5,"Qualified: high intent",IF(AB149&gt;=Settings!$B$6,"Qualified: nurture","Development pathway")))))</f>
        <v/>
      </c>
      <c r="AD149" s="32"/>
    </row>
    <row r="150" customFormat="false" ht="15" hidden="false" customHeight="false" outlineLevel="0" collapsed="false">
      <c r="A150" s="29"/>
      <c r="B150" s="29"/>
      <c r="C150" s="29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1" t="str">
        <f aca="false">IF($A150="","",IF(COUNTIF(F150:I150,"Yes")=4,"Pass","Fail"))</f>
        <v/>
      </c>
      <c r="Z150" s="31" t="str">
        <f aca="false">IF($A150="","",IF(AND(IFERROR(MATCH(J150,Settings!$A$10:$A$14,0),0)&gt;=MATCH(Settings!$B$4,Settings!$A$10:$A$14,0),K150="Yes",L150="Yes"),"Pass","Fail"))</f>
        <v/>
      </c>
      <c r="AA150" s="31" t="str">
        <f aca="false">IF($A150="","",IF(COUNTIF(M150:P150,"Yes")=4,"Pass","Fail"))</f>
        <v/>
      </c>
      <c r="AB150" s="31" t="str">
        <f aca="false">IF($A150="","",SUM(Q150:U150))</f>
        <v/>
      </c>
      <c r="AC150" s="31" t="str">
        <f aca="false">IF($A150="","",IF(OR(Y150="Fail",X150="Yes",V150&lt;&gt;"Yes"),"Not a fit",IF(OR(Z150="Fail",AA150="Fail"),"Development pathway",IF(AB150&gt;=Settings!$B$5,"Qualified: high intent",IF(AB150&gt;=Settings!$B$6,"Qualified: nurture","Development pathway")))))</f>
        <v/>
      </c>
      <c r="AD150" s="32"/>
    </row>
    <row r="151" customFormat="false" ht="15" hidden="false" customHeight="false" outlineLevel="0" collapsed="false">
      <c r="A151" s="29"/>
      <c r="B151" s="29"/>
      <c r="C151" s="29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1" t="str">
        <f aca="false">IF($A151="","",IF(COUNTIF(F151:I151,"Yes")=4,"Pass","Fail"))</f>
        <v/>
      </c>
      <c r="Z151" s="31" t="str">
        <f aca="false">IF($A151="","",IF(AND(IFERROR(MATCH(J151,Settings!$A$10:$A$14,0),0)&gt;=MATCH(Settings!$B$4,Settings!$A$10:$A$14,0),K151="Yes",L151="Yes"),"Pass","Fail"))</f>
        <v/>
      </c>
      <c r="AA151" s="31" t="str">
        <f aca="false">IF($A151="","",IF(COUNTIF(M151:P151,"Yes")=4,"Pass","Fail"))</f>
        <v/>
      </c>
      <c r="AB151" s="31" t="str">
        <f aca="false">IF($A151="","",SUM(Q151:U151))</f>
        <v/>
      </c>
      <c r="AC151" s="31" t="str">
        <f aca="false">IF($A151="","",IF(OR(Y151="Fail",X151="Yes",V151&lt;&gt;"Yes"),"Not a fit",IF(OR(Z151="Fail",AA151="Fail"),"Development pathway",IF(AB151&gt;=Settings!$B$5,"Qualified: high intent",IF(AB151&gt;=Settings!$B$6,"Qualified: nurture","Development pathway")))))</f>
        <v/>
      </c>
      <c r="AD151" s="32"/>
    </row>
    <row r="152" customFormat="false" ht="15" hidden="false" customHeight="false" outlineLevel="0" collapsed="false">
      <c r="A152" s="29"/>
      <c r="B152" s="29"/>
      <c r="C152" s="29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1" t="str">
        <f aca="false">IF($A152="","",IF(COUNTIF(F152:I152,"Yes")=4,"Pass","Fail"))</f>
        <v/>
      </c>
      <c r="Z152" s="31" t="str">
        <f aca="false">IF($A152="","",IF(AND(IFERROR(MATCH(J152,Settings!$A$10:$A$14,0),0)&gt;=MATCH(Settings!$B$4,Settings!$A$10:$A$14,0),K152="Yes",L152="Yes"),"Pass","Fail"))</f>
        <v/>
      </c>
      <c r="AA152" s="31" t="str">
        <f aca="false">IF($A152="","",IF(COUNTIF(M152:P152,"Yes")=4,"Pass","Fail"))</f>
        <v/>
      </c>
      <c r="AB152" s="31" t="str">
        <f aca="false">IF($A152="","",SUM(Q152:U152))</f>
        <v/>
      </c>
      <c r="AC152" s="31" t="str">
        <f aca="false">IF($A152="","",IF(OR(Y152="Fail",X152="Yes",V152&lt;&gt;"Yes"),"Not a fit",IF(OR(Z152="Fail",AA152="Fail"),"Development pathway",IF(AB152&gt;=Settings!$B$5,"Qualified: high intent",IF(AB152&gt;=Settings!$B$6,"Qualified: nurture","Development pathway")))))</f>
        <v/>
      </c>
      <c r="AD152" s="32"/>
    </row>
    <row r="153" customFormat="false" ht="15" hidden="false" customHeight="false" outlineLevel="0" collapsed="false">
      <c r="A153" s="29"/>
      <c r="B153" s="29"/>
      <c r="C153" s="29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1" t="str">
        <f aca="false">IF($A153="","",IF(COUNTIF(F153:I153,"Yes")=4,"Pass","Fail"))</f>
        <v/>
      </c>
      <c r="Z153" s="31" t="str">
        <f aca="false">IF($A153="","",IF(AND(IFERROR(MATCH(J153,Settings!$A$10:$A$14,0),0)&gt;=MATCH(Settings!$B$4,Settings!$A$10:$A$14,0),K153="Yes",L153="Yes"),"Pass","Fail"))</f>
        <v/>
      </c>
      <c r="AA153" s="31" t="str">
        <f aca="false">IF($A153="","",IF(COUNTIF(M153:P153,"Yes")=4,"Pass","Fail"))</f>
        <v/>
      </c>
      <c r="AB153" s="31" t="str">
        <f aca="false">IF($A153="","",SUM(Q153:U153))</f>
        <v/>
      </c>
      <c r="AC153" s="31" t="str">
        <f aca="false">IF($A153="","",IF(OR(Y153="Fail",X153="Yes",V153&lt;&gt;"Yes"),"Not a fit",IF(OR(Z153="Fail",AA153="Fail"),"Development pathway",IF(AB153&gt;=Settings!$B$5,"Qualified: high intent",IF(AB153&gt;=Settings!$B$6,"Qualified: nurture","Development pathway")))))</f>
        <v/>
      </c>
      <c r="AD153" s="32"/>
    </row>
    <row r="154" customFormat="false" ht="15" hidden="false" customHeight="false" outlineLevel="0" collapsed="false">
      <c r="A154" s="29"/>
      <c r="B154" s="29"/>
      <c r="C154" s="29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1" t="str">
        <f aca="false">IF($A154="","",IF(COUNTIF(F154:I154,"Yes")=4,"Pass","Fail"))</f>
        <v/>
      </c>
      <c r="Z154" s="31" t="str">
        <f aca="false">IF($A154="","",IF(AND(IFERROR(MATCH(J154,Settings!$A$10:$A$14,0),0)&gt;=MATCH(Settings!$B$4,Settings!$A$10:$A$14,0),K154="Yes",L154="Yes"),"Pass","Fail"))</f>
        <v/>
      </c>
      <c r="AA154" s="31" t="str">
        <f aca="false">IF($A154="","",IF(COUNTIF(M154:P154,"Yes")=4,"Pass","Fail"))</f>
        <v/>
      </c>
      <c r="AB154" s="31" t="str">
        <f aca="false">IF($A154="","",SUM(Q154:U154))</f>
        <v/>
      </c>
      <c r="AC154" s="31" t="str">
        <f aca="false">IF($A154="","",IF(OR(Y154="Fail",X154="Yes",V154&lt;&gt;"Yes"),"Not a fit",IF(OR(Z154="Fail",AA154="Fail"),"Development pathway",IF(AB154&gt;=Settings!$B$5,"Qualified: high intent",IF(AB154&gt;=Settings!$B$6,"Qualified: nurture","Development pathway")))))</f>
        <v/>
      </c>
      <c r="AD154" s="32"/>
    </row>
    <row r="155" customFormat="false" ht="15" hidden="false" customHeight="false" outlineLevel="0" collapsed="false">
      <c r="A155" s="29"/>
      <c r="B155" s="29"/>
      <c r="C155" s="29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1" t="str">
        <f aca="false">IF($A155="","",IF(COUNTIF(F155:I155,"Yes")=4,"Pass","Fail"))</f>
        <v/>
      </c>
      <c r="Z155" s="31" t="str">
        <f aca="false">IF($A155="","",IF(AND(IFERROR(MATCH(J155,Settings!$A$10:$A$14,0),0)&gt;=MATCH(Settings!$B$4,Settings!$A$10:$A$14,0),K155="Yes",L155="Yes"),"Pass","Fail"))</f>
        <v/>
      </c>
      <c r="AA155" s="31" t="str">
        <f aca="false">IF($A155="","",IF(COUNTIF(M155:P155,"Yes")=4,"Pass","Fail"))</f>
        <v/>
      </c>
      <c r="AB155" s="31" t="str">
        <f aca="false">IF($A155="","",SUM(Q155:U155))</f>
        <v/>
      </c>
      <c r="AC155" s="31" t="str">
        <f aca="false">IF($A155="","",IF(OR(Y155="Fail",X155="Yes",V155&lt;&gt;"Yes"),"Not a fit",IF(OR(Z155="Fail",AA155="Fail"),"Development pathway",IF(AB155&gt;=Settings!$B$5,"Qualified: high intent",IF(AB155&gt;=Settings!$B$6,"Qualified: nurture","Development pathway")))))</f>
        <v/>
      </c>
      <c r="AD155" s="32"/>
    </row>
    <row r="156" customFormat="false" ht="15" hidden="false" customHeight="false" outlineLevel="0" collapsed="false">
      <c r="A156" s="29"/>
      <c r="B156" s="29"/>
      <c r="C156" s="29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1" t="str">
        <f aca="false">IF($A156="","",IF(COUNTIF(F156:I156,"Yes")=4,"Pass","Fail"))</f>
        <v/>
      </c>
      <c r="Z156" s="31" t="str">
        <f aca="false">IF($A156="","",IF(AND(IFERROR(MATCH(J156,Settings!$A$10:$A$14,0),0)&gt;=MATCH(Settings!$B$4,Settings!$A$10:$A$14,0),K156="Yes",L156="Yes"),"Pass","Fail"))</f>
        <v/>
      </c>
      <c r="AA156" s="31" t="str">
        <f aca="false">IF($A156="","",IF(COUNTIF(M156:P156,"Yes")=4,"Pass","Fail"))</f>
        <v/>
      </c>
      <c r="AB156" s="31" t="str">
        <f aca="false">IF($A156="","",SUM(Q156:U156))</f>
        <v/>
      </c>
      <c r="AC156" s="31" t="str">
        <f aca="false">IF($A156="","",IF(OR(Y156="Fail",X156="Yes",V156&lt;&gt;"Yes"),"Not a fit",IF(OR(Z156="Fail",AA156="Fail"),"Development pathway",IF(AB156&gt;=Settings!$B$5,"Qualified: high intent",IF(AB156&gt;=Settings!$B$6,"Qualified: nurture","Development pathway")))))</f>
        <v/>
      </c>
      <c r="AD156" s="32"/>
    </row>
    <row r="157" customFormat="false" ht="15" hidden="false" customHeight="false" outlineLevel="0" collapsed="false">
      <c r="A157" s="29"/>
      <c r="B157" s="29"/>
      <c r="C157" s="29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1" t="str">
        <f aca="false">IF($A157="","",IF(COUNTIF(F157:I157,"Yes")=4,"Pass","Fail"))</f>
        <v/>
      </c>
      <c r="Z157" s="31" t="str">
        <f aca="false">IF($A157="","",IF(AND(IFERROR(MATCH(J157,Settings!$A$10:$A$14,0),0)&gt;=MATCH(Settings!$B$4,Settings!$A$10:$A$14,0),K157="Yes",L157="Yes"),"Pass","Fail"))</f>
        <v/>
      </c>
      <c r="AA157" s="31" t="str">
        <f aca="false">IF($A157="","",IF(COUNTIF(M157:P157,"Yes")=4,"Pass","Fail"))</f>
        <v/>
      </c>
      <c r="AB157" s="31" t="str">
        <f aca="false">IF($A157="","",SUM(Q157:U157))</f>
        <v/>
      </c>
      <c r="AC157" s="31" t="str">
        <f aca="false">IF($A157="","",IF(OR(Y157="Fail",X157="Yes",V157&lt;&gt;"Yes"),"Not a fit",IF(OR(Z157="Fail",AA157="Fail"),"Development pathway",IF(AB157&gt;=Settings!$B$5,"Qualified: high intent",IF(AB157&gt;=Settings!$B$6,"Qualified: nurture","Development pathway")))))</f>
        <v/>
      </c>
      <c r="AD157" s="32"/>
    </row>
    <row r="158" customFormat="false" ht="15" hidden="false" customHeight="false" outlineLevel="0" collapsed="false">
      <c r="A158" s="29"/>
      <c r="B158" s="29"/>
      <c r="C158" s="29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1" t="str">
        <f aca="false">IF($A158="","",IF(COUNTIF(F158:I158,"Yes")=4,"Pass","Fail"))</f>
        <v/>
      </c>
      <c r="Z158" s="31" t="str">
        <f aca="false">IF($A158="","",IF(AND(IFERROR(MATCH(J158,Settings!$A$10:$A$14,0),0)&gt;=MATCH(Settings!$B$4,Settings!$A$10:$A$14,0),K158="Yes",L158="Yes"),"Pass","Fail"))</f>
        <v/>
      </c>
      <c r="AA158" s="31" t="str">
        <f aca="false">IF($A158="","",IF(COUNTIF(M158:P158,"Yes")=4,"Pass","Fail"))</f>
        <v/>
      </c>
      <c r="AB158" s="31" t="str">
        <f aca="false">IF($A158="","",SUM(Q158:U158))</f>
        <v/>
      </c>
      <c r="AC158" s="31" t="str">
        <f aca="false">IF($A158="","",IF(OR(Y158="Fail",X158="Yes",V158&lt;&gt;"Yes"),"Not a fit",IF(OR(Z158="Fail",AA158="Fail"),"Development pathway",IF(AB158&gt;=Settings!$B$5,"Qualified: high intent",IF(AB158&gt;=Settings!$B$6,"Qualified: nurture","Development pathway")))))</f>
        <v/>
      </c>
      <c r="AD158" s="32"/>
    </row>
    <row r="159" customFormat="false" ht="15" hidden="false" customHeight="false" outlineLevel="0" collapsed="false">
      <c r="A159" s="29"/>
      <c r="B159" s="29"/>
      <c r="C159" s="29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1" t="str">
        <f aca="false">IF($A159="","",IF(COUNTIF(F159:I159,"Yes")=4,"Pass","Fail"))</f>
        <v/>
      </c>
      <c r="Z159" s="31" t="str">
        <f aca="false">IF($A159="","",IF(AND(IFERROR(MATCH(J159,Settings!$A$10:$A$14,0),0)&gt;=MATCH(Settings!$B$4,Settings!$A$10:$A$14,0),K159="Yes",L159="Yes"),"Pass","Fail"))</f>
        <v/>
      </c>
      <c r="AA159" s="31" t="str">
        <f aca="false">IF($A159="","",IF(COUNTIF(M159:P159,"Yes")=4,"Pass","Fail"))</f>
        <v/>
      </c>
      <c r="AB159" s="31" t="str">
        <f aca="false">IF($A159="","",SUM(Q159:U159))</f>
        <v/>
      </c>
      <c r="AC159" s="31" t="str">
        <f aca="false">IF($A159="","",IF(OR(Y159="Fail",X159="Yes",V159&lt;&gt;"Yes"),"Not a fit",IF(OR(Z159="Fail",AA159="Fail"),"Development pathway",IF(AB159&gt;=Settings!$B$5,"Qualified: high intent",IF(AB159&gt;=Settings!$B$6,"Qualified: nurture","Development pathway")))))</f>
        <v/>
      </c>
      <c r="AD159" s="32"/>
    </row>
    <row r="160" customFormat="false" ht="15" hidden="false" customHeight="false" outlineLevel="0" collapsed="false">
      <c r="A160" s="29"/>
      <c r="B160" s="29"/>
      <c r="C160" s="29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1" t="str">
        <f aca="false">IF($A160="","",IF(COUNTIF(F160:I160,"Yes")=4,"Pass","Fail"))</f>
        <v/>
      </c>
      <c r="Z160" s="31" t="str">
        <f aca="false">IF($A160="","",IF(AND(IFERROR(MATCH(J160,Settings!$A$10:$A$14,0),0)&gt;=MATCH(Settings!$B$4,Settings!$A$10:$A$14,0),K160="Yes",L160="Yes"),"Pass","Fail"))</f>
        <v/>
      </c>
      <c r="AA160" s="31" t="str">
        <f aca="false">IF($A160="","",IF(COUNTIF(M160:P160,"Yes")=4,"Pass","Fail"))</f>
        <v/>
      </c>
      <c r="AB160" s="31" t="str">
        <f aca="false">IF($A160="","",SUM(Q160:U160))</f>
        <v/>
      </c>
      <c r="AC160" s="31" t="str">
        <f aca="false">IF($A160="","",IF(OR(Y160="Fail",X160="Yes",V160&lt;&gt;"Yes"),"Not a fit",IF(OR(Z160="Fail",AA160="Fail"),"Development pathway",IF(AB160&gt;=Settings!$B$5,"Qualified: high intent",IF(AB160&gt;=Settings!$B$6,"Qualified: nurture","Development pathway")))))</f>
        <v/>
      </c>
      <c r="AD160" s="32"/>
    </row>
    <row r="161" customFormat="false" ht="15" hidden="false" customHeight="false" outlineLevel="0" collapsed="false">
      <c r="A161" s="29"/>
      <c r="B161" s="29"/>
      <c r="C161" s="29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1" t="str">
        <f aca="false">IF($A161="","",IF(COUNTIF(F161:I161,"Yes")=4,"Pass","Fail"))</f>
        <v/>
      </c>
      <c r="Z161" s="31" t="str">
        <f aca="false">IF($A161="","",IF(AND(IFERROR(MATCH(J161,Settings!$A$10:$A$14,0),0)&gt;=MATCH(Settings!$B$4,Settings!$A$10:$A$14,0),K161="Yes",L161="Yes"),"Pass","Fail"))</f>
        <v/>
      </c>
      <c r="AA161" s="31" t="str">
        <f aca="false">IF($A161="","",IF(COUNTIF(M161:P161,"Yes")=4,"Pass","Fail"))</f>
        <v/>
      </c>
      <c r="AB161" s="31" t="str">
        <f aca="false">IF($A161="","",SUM(Q161:U161))</f>
        <v/>
      </c>
      <c r="AC161" s="31" t="str">
        <f aca="false">IF($A161="","",IF(OR(Y161="Fail",X161="Yes",V161&lt;&gt;"Yes"),"Not a fit",IF(OR(Z161="Fail",AA161="Fail"),"Development pathway",IF(AB161&gt;=Settings!$B$5,"Qualified: high intent",IF(AB161&gt;=Settings!$B$6,"Qualified: nurture","Development pathway")))))</f>
        <v/>
      </c>
      <c r="AD161" s="32"/>
    </row>
    <row r="162" customFormat="false" ht="15" hidden="false" customHeight="false" outlineLevel="0" collapsed="false">
      <c r="A162" s="29"/>
      <c r="B162" s="29"/>
      <c r="C162" s="29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1" t="str">
        <f aca="false">IF($A162="","",IF(COUNTIF(F162:I162,"Yes")=4,"Pass","Fail"))</f>
        <v/>
      </c>
      <c r="Z162" s="31" t="str">
        <f aca="false">IF($A162="","",IF(AND(IFERROR(MATCH(J162,Settings!$A$10:$A$14,0),0)&gt;=MATCH(Settings!$B$4,Settings!$A$10:$A$14,0),K162="Yes",L162="Yes"),"Pass","Fail"))</f>
        <v/>
      </c>
      <c r="AA162" s="31" t="str">
        <f aca="false">IF($A162="","",IF(COUNTIF(M162:P162,"Yes")=4,"Pass","Fail"))</f>
        <v/>
      </c>
      <c r="AB162" s="31" t="str">
        <f aca="false">IF($A162="","",SUM(Q162:U162))</f>
        <v/>
      </c>
      <c r="AC162" s="31" t="str">
        <f aca="false">IF($A162="","",IF(OR(Y162="Fail",X162="Yes",V162&lt;&gt;"Yes"),"Not a fit",IF(OR(Z162="Fail",AA162="Fail"),"Development pathway",IF(AB162&gt;=Settings!$B$5,"Qualified: high intent",IF(AB162&gt;=Settings!$B$6,"Qualified: nurture","Development pathway")))))</f>
        <v/>
      </c>
      <c r="AD162" s="32"/>
    </row>
    <row r="163" customFormat="false" ht="15" hidden="false" customHeight="false" outlineLevel="0" collapsed="false">
      <c r="A163" s="29"/>
      <c r="B163" s="29"/>
      <c r="C163" s="29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1" t="str">
        <f aca="false">IF($A163="","",IF(COUNTIF(F163:I163,"Yes")=4,"Pass","Fail"))</f>
        <v/>
      </c>
      <c r="Z163" s="31" t="str">
        <f aca="false">IF($A163="","",IF(AND(IFERROR(MATCH(J163,Settings!$A$10:$A$14,0),0)&gt;=MATCH(Settings!$B$4,Settings!$A$10:$A$14,0),K163="Yes",L163="Yes"),"Pass","Fail"))</f>
        <v/>
      </c>
      <c r="AA163" s="31" t="str">
        <f aca="false">IF($A163="","",IF(COUNTIF(M163:P163,"Yes")=4,"Pass","Fail"))</f>
        <v/>
      </c>
      <c r="AB163" s="31" t="str">
        <f aca="false">IF($A163="","",SUM(Q163:U163))</f>
        <v/>
      </c>
      <c r="AC163" s="31" t="str">
        <f aca="false">IF($A163="","",IF(OR(Y163="Fail",X163="Yes",V163&lt;&gt;"Yes"),"Not a fit",IF(OR(Z163="Fail",AA163="Fail"),"Development pathway",IF(AB163&gt;=Settings!$B$5,"Qualified: high intent",IF(AB163&gt;=Settings!$B$6,"Qualified: nurture","Development pathway")))))</f>
        <v/>
      </c>
      <c r="AD163" s="32"/>
    </row>
    <row r="164" customFormat="false" ht="15" hidden="false" customHeight="false" outlineLevel="0" collapsed="false">
      <c r="A164" s="29"/>
      <c r="B164" s="29"/>
      <c r="C164" s="29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1" t="str">
        <f aca="false">IF($A164="","",IF(COUNTIF(F164:I164,"Yes")=4,"Pass","Fail"))</f>
        <v/>
      </c>
      <c r="Z164" s="31" t="str">
        <f aca="false">IF($A164="","",IF(AND(IFERROR(MATCH(J164,Settings!$A$10:$A$14,0),0)&gt;=MATCH(Settings!$B$4,Settings!$A$10:$A$14,0),K164="Yes",L164="Yes"),"Pass","Fail"))</f>
        <v/>
      </c>
      <c r="AA164" s="31" t="str">
        <f aca="false">IF($A164="","",IF(COUNTIF(M164:P164,"Yes")=4,"Pass","Fail"))</f>
        <v/>
      </c>
      <c r="AB164" s="31" t="str">
        <f aca="false">IF($A164="","",SUM(Q164:U164))</f>
        <v/>
      </c>
      <c r="AC164" s="31" t="str">
        <f aca="false">IF($A164="","",IF(OR(Y164="Fail",X164="Yes",V164&lt;&gt;"Yes"),"Not a fit",IF(OR(Z164="Fail",AA164="Fail"),"Development pathway",IF(AB164&gt;=Settings!$B$5,"Qualified: high intent",IF(AB164&gt;=Settings!$B$6,"Qualified: nurture","Development pathway")))))</f>
        <v/>
      </c>
      <c r="AD164" s="32"/>
    </row>
    <row r="165" customFormat="false" ht="15" hidden="false" customHeight="false" outlineLevel="0" collapsed="false">
      <c r="A165" s="29"/>
      <c r="B165" s="29"/>
      <c r="C165" s="29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1" t="str">
        <f aca="false">IF($A165="","",IF(COUNTIF(F165:I165,"Yes")=4,"Pass","Fail"))</f>
        <v/>
      </c>
      <c r="Z165" s="31" t="str">
        <f aca="false">IF($A165="","",IF(AND(IFERROR(MATCH(J165,Settings!$A$10:$A$14,0),0)&gt;=MATCH(Settings!$B$4,Settings!$A$10:$A$14,0),K165="Yes",L165="Yes"),"Pass","Fail"))</f>
        <v/>
      </c>
      <c r="AA165" s="31" t="str">
        <f aca="false">IF($A165="","",IF(COUNTIF(M165:P165,"Yes")=4,"Pass","Fail"))</f>
        <v/>
      </c>
      <c r="AB165" s="31" t="str">
        <f aca="false">IF($A165="","",SUM(Q165:U165))</f>
        <v/>
      </c>
      <c r="AC165" s="31" t="str">
        <f aca="false">IF($A165="","",IF(OR(Y165="Fail",X165="Yes",V165&lt;&gt;"Yes"),"Not a fit",IF(OR(Z165="Fail",AA165="Fail"),"Development pathway",IF(AB165&gt;=Settings!$B$5,"Qualified: high intent",IF(AB165&gt;=Settings!$B$6,"Qualified: nurture","Development pathway")))))</f>
        <v/>
      </c>
      <c r="AD165" s="32"/>
    </row>
    <row r="166" customFormat="false" ht="15" hidden="false" customHeight="false" outlineLevel="0" collapsed="false">
      <c r="A166" s="29"/>
      <c r="B166" s="29"/>
      <c r="C166" s="29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1" t="str">
        <f aca="false">IF($A166="","",IF(COUNTIF(F166:I166,"Yes")=4,"Pass","Fail"))</f>
        <v/>
      </c>
      <c r="Z166" s="31" t="str">
        <f aca="false">IF($A166="","",IF(AND(IFERROR(MATCH(J166,Settings!$A$10:$A$14,0),0)&gt;=MATCH(Settings!$B$4,Settings!$A$10:$A$14,0),K166="Yes",L166="Yes"),"Pass","Fail"))</f>
        <v/>
      </c>
      <c r="AA166" s="31" t="str">
        <f aca="false">IF($A166="","",IF(COUNTIF(M166:P166,"Yes")=4,"Pass","Fail"))</f>
        <v/>
      </c>
      <c r="AB166" s="31" t="str">
        <f aca="false">IF($A166="","",SUM(Q166:U166))</f>
        <v/>
      </c>
      <c r="AC166" s="31" t="str">
        <f aca="false">IF($A166="","",IF(OR(Y166="Fail",X166="Yes",V166&lt;&gt;"Yes"),"Not a fit",IF(OR(Z166="Fail",AA166="Fail"),"Development pathway",IF(AB166&gt;=Settings!$B$5,"Qualified: high intent",IF(AB166&gt;=Settings!$B$6,"Qualified: nurture","Development pathway")))))</f>
        <v/>
      </c>
      <c r="AD166" s="32"/>
    </row>
    <row r="167" customFormat="false" ht="15" hidden="false" customHeight="false" outlineLevel="0" collapsed="false">
      <c r="A167" s="29"/>
      <c r="B167" s="29"/>
      <c r="C167" s="29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1" t="str">
        <f aca="false">IF($A167="","",IF(COUNTIF(F167:I167,"Yes")=4,"Pass","Fail"))</f>
        <v/>
      </c>
      <c r="Z167" s="31" t="str">
        <f aca="false">IF($A167="","",IF(AND(IFERROR(MATCH(J167,Settings!$A$10:$A$14,0),0)&gt;=MATCH(Settings!$B$4,Settings!$A$10:$A$14,0),K167="Yes",L167="Yes"),"Pass","Fail"))</f>
        <v/>
      </c>
      <c r="AA167" s="31" t="str">
        <f aca="false">IF($A167="","",IF(COUNTIF(M167:P167,"Yes")=4,"Pass","Fail"))</f>
        <v/>
      </c>
      <c r="AB167" s="31" t="str">
        <f aca="false">IF($A167="","",SUM(Q167:U167))</f>
        <v/>
      </c>
      <c r="AC167" s="31" t="str">
        <f aca="false">IF($A167="","",IF(OR(Y167="Fail",X167="Yes",V167&lt;&gt;"Yes"),"Not a fit",IF(OR(Z167="Fail",AA167="Fail"),"Development pathway",IF(AB167&gt;=Settings!$B$5,"Qualified: high intent",IF(AB167&gt;=Settings!$B$6,"Qualified: nurture","Development pathway")))))</f>
        <v/>
      </c>
      <c r="AD167" s="32"/>
    </row>
    <row r="168" customFormat="false" ht="15" hidden="false" customHeight="false" outlineLevel="0" collapsed="false">
      <c r="A168" s="29"/>
      <c r="B168" s="29"/>
      <c r="C168" s="29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1" t="str">
        <f aca="false">IF($A168="","",IF(COUNTIF(F168:I168,"Yes")=4,"Pass","Fail"))</f>
        <v/>
      </c>
      <c r="Z168" s="31" t="str">
        <f aca="false">IF($A168="","",IF(AND(IFERROR(MATCH(J168,Settings!$A$10:$A$14,0),0)&gt;=MATCH(Settings!$B$4,Settings!$A$10:$A$14,0),K168="Yes",L168="Yes"),"Pass","Fail"))</f>
        <v/>
      </c>
      <c r="AA168" s="31" t="str">
        <f aca="false">IF($A168="","",IF(COUNTIF(M168:P168,"Yes")=4,"Pass","Fail"))</f>
        <v/>
      </c>
      <c r="AB168" s="31" t="str">
        <f aca="false">IF($A168="","",SUM(Q168:U168))</f>
        <v/>
      </c>
      <c r="AC168" s="31" t="str">
        <f aca="false">IF($A168="","",IF(OR(Y168="Fail",X168="Yes",V168&lt;&gt;"Yes"),"Not a fit",IF(OR(Z168="Fail",AA168="Fail"),"Development pathway",IF(AB168&gt;=Settings!$B$5,"Qualified: high intent",IF(AB168&gt;=Settings!$B$6,"Qualified: nurture","Development pathway")))))</f>
        <v/>
      </c>
      <c r="AD168" s="32"/>
    </row>
    <row r="169" customFormat="false" ht="15" hidden="false" customHeight="false" outlineLevel="0" collapsed="false">
      <c r="A169" s="29"/>
      <c r="B169" s="29"/>
      <c r="C169" s="29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1" t="str">
        <f aca="false">IF($A169="","",IF(COUNTIF(F169:I169,"Yes")=4,"Pass","Fail"))</f>
        <v/>
      </c>
      <c r="Z169" s="31" t="str">
        <f aca="false">IF($A169="","",IF(AND(IFERROR(MATCH(J169,Settings!$A$10:$A$14,0),0)&gt;=MATCH(Settings!$B$4,Settings!$A$10:$A$14,0),K169="Yes",L169="Yes"),"Pass","Fail"))</f>
        <v/>
      </c>
      <c r="AA169" s="31" t="str">
        <f aca="false">IF($A169="","",IF(COUNTIF(M169:P169,"Yes")=4,"Pass","Fail"))</f>
        <v/>
      </c>
      <c r="AB169" s="31" t="str">
        <f aca="false">IF($A169="","",SUM(Q169:U169))</f>
        <v/>
      </c>
      <c r="AC169" s="31" t="str">
        <f aca="false">IF($A169="","",IF(OR(Y169="Fail",X169="Yes",V169&lt;&gt;"Yes"),"Not a fit",IF(OR(Z169="Fail",AA169="Fail"),"Development pathway",IF(AB169&gt;=Settings!$B$5,"Qualified: high intent",IF(AB169&gt;=Settings!$B$6,"Qualified: nurture","Development pathway")))))</f>
        <v/>
      </c>
      <c r="AD169" s="32"/>
    </row>
    <row r="170" customFormat="false" ht="15" hidden="false" customHeight="false" outlineLevel="0" collapsed="false">
      <c r="A170" s="29"/>
      <c r="B170" s="29"/>
      <c r="C170" s="29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1" t="str">
        <f aca="false">IF($A170="","",IF(COUNTIF(F170:I170,"Yes")=4,"Pass","Fail"))</f>
        <v/>
      </c>
      <c r="Z170" s="31" t="str">
        <f aca="false">IF($A170="","",IF(AND(IFERROR(MATCH(J170,Settings!$A$10:$A$14,0),0)&gt;=MATCH(Settings!$B$4,Settings!$A$10:$A$14,0),K170="Yes",L170="Yes"),"Pass","Fail"))</f>
        <v/>
      </c>
      <c r="AA170" s="31" t="str">
        <f aca="false">IF($A170="","",IF(COUNTIF(M170:P170,"Yes")=4,"Pass","Fail"))</f>
        <v/>
      </c>
      <c r="AB170" s="31" t="str">
        <f aca="false">IF($A170="","",SUM(Q170:U170))</f>
        <v/>
      </c>
      <c r="AC170" s="31" t="str">
        <f aca="false">IF($A170="","",IF(OR(Y170="Fail",X170="Yes",V170&lt;&gt;"Yes"),"Not a fit",IF(OR(Z170="Fail",AA170="Fail"),"Development pathway",IF(AB170&gt;=Settings!$B$5,"Qualified: high intent",IF(AB170&gt;=Settings!$B$6,"Qualified: nurture","Development pathway")))))</f>
        <v/>
      </c>
      <c r="AD170" s="32"/>
    </row>
    <row r="171" customFormat="false" ht="15" hidden="false" customHeight="false" outlineLevel="0" collapsed="false">
      <c r="A171" s="29"/>
      <c r="B171" s="29"/>
      <c r="C171" s="29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1" t="str">
        <f aca="false">IF($A171="","",IF(COUNTIF(F171:I171,"Yes")=4,"Pass","Fail"))</f>
        <v/>
      </c>
      <c r="Z171" s="31" t="str">
        <f aca="false">IF($A171="","",IF(AND(IFERROR(MATCH(J171,Settings!$A$10:$A$14,0),0)&gt;=MATCH(Settings!$B$4,Settings!$A$10:$A$14,0),K171="Yes",L171="Yes"),"Pass","Fail"))</f>
        <v/>
      </c>
      <c r="AA171" s="31" t="str">
        <f aca="false">IF($A171="","",IF(COUNTIF(M171:P171,"Yes")=4,"Pass","Fail"))</f>
        <v/>
      </c>
      <c r="AB171" s="31" t="str">
        <f aca="false">IF($A171="","",SUM(Q171:U171))</f>
        <v/>
      </c>
      <c r="AC171" s="31" t="str">
        <f aca="false">IF($A171="","",IF(OR(Y171="Fail",X171="Yes",V171&lt;&gt;"Yes"),"Not a fit",IF(OR(Z171="Fail",AA171="Fail"),"Development pathway",IF(AB171&gt;=Settings!$B$5,"Qualified: high intent",IF(AB171&gt;=Settings!$B$6,"Qualified: nurture","Development pathway")))))</f>
        <v/>
      </c>
      <c r="AD171" s="32"/>
    </row>
    <row r="172" customFormat="false" ht="15" hidden="false" customHeight="false" outlineLevel="0" collapsed="false">
      <c r="A172" s="29"/>
      <c r="B172" s="29"/>
      <c r="C172" s="29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1" t="str">
        <f aca="false">IF($A172="","",IF(COUNTIF(F172:I172,"Yes")=4,"Pass","Fail"))</f>
        <v/>
      </c>
      <c r="Z172" s="31" t="str">
        <f aca="false">IF($A172="","",IF(AND(IFERROR(MATCH(J172,Settings!$A$10:$A$14,0),0)&gt;=MATCH(Settings!$B$4,Settings!$A$10:$A$14,0),K172="Yes",L172="Yes"),"Pass","Fail"))</f>
        <v/>
      </c>
      <c r="AA172" s="31" t="str">
        <f aca="false">IF($A172="","",IF(COUNTIF(M172:P172,"Yes")=4,"Pass","Fail"))</f>
        <v/>
      </c>
      <c r="AB172" s="31" t="str">
        <f aca="false">IF($A172="","",SUM(Q172:U172))</f>
        <v/>
      </c>
      <c r="AC172" s="31" t="str">
        <f aca="false">IF($A172="","",IF(OR(Y172="Fail",X172="Yes",V172&lt;&gt;"Yes"),"Not a fit",IF(OR(Z172="Fail",AA172="Fail"),"Development pathway",IF(AB172&gt;=Settings!$B$5,"Qualified: high intent",IF(AB172&gt;=Settings!$B$6,"Qualified: nurture","Development pathway")))))</f>
        <v/>
      </c>
      <c r="AD172" s="32"/>
    </row>
    <row r="173" customFormat="false" ht="15" hidden="false" customHeight="false" outlineLevel="0" collapsed="false">
      <c r="A173" s="29"/>
      <c r="B173" s="29"/>
      <c r="C173" s="29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1" t="str">
        <f aca="false">IF($A173="","",IF(COUNTIF(F173:I173,"Yes")=4,"Pass","Fail"))</f>
        <v/>
      </c>
      <c r="Z173" s="31" t="str">
        <f aca="false">IF($A173="","",IF(AND(IFERROR(MATCH(J173,Settings!$A$10:$A$14,0),0)&gt;=MATCH(Settings!$B$4,Settings!$A$10:$A$14,0),K173="Yes",L173="Yes"),"Pass","Fail"))</f>
        <v/>
      </c>
      <c r="AA173" s="31" t="str">
        <f aca="false">IF($A173="","",IF(COUNTIF(M173:P173,"Yes")=4,"Pass","Fail"))</f>
        <v/>
      </c>
      <c r="AB173" s="31" t="str">
        <f aca="false">IF($A173="","",SUM(Q173:U173))</f>
        <v/>
      </c>
      <c r="AC173" s="31" t="str">
        <f aca="false">IF($A173="","",IF(OR(Y173="Fail",X173="Yes",V173&lt;&gt;"Yes"),"Not a fit",IF(OR(Z173="Fail",AA173="Fail"),"Development pathway",IF(AB173&gt;=Settings!$B$5,"Qualified: high intent",IF(AB173&gt;=Settings!$B$6,"Qualified: nurture","Development pathway")))))</f>
        <v/>
      </c>
      <c r="AD173" s="32"/>
    </row>
    <row r="174" customFormat="false" ht="15" hidden="false" customHeight="false" outlineLevel="0" collapsed="false">
      <c r="A174" s="29"/>
      <c r="B174" s="29"/>
      <c r="C174" s="29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1" t="str">
        <f aca="false">IF($A174="","",IF(COUNTIF(F174:I174,"Yes")=4,"Pass","Fail"))</f>
        <v/>
      </c>
      <c r="Z174" s="31" t="str">
        <f aca="false">IF($A174="","",IF(AND(IFERROR(MATCH(J174,Settings!$A$10:$A$14,0),0)&gt;=MATCH(Settings!$B$4,Settings!$A$10:$A$14,0),K174="Yes",L174="Yes"),"Pass","Fail"))</f>
        <v/>
      </c>
      <c r="AA174" s="31" t="str">
        <f aca="false">IF($A174="","",IF(COUNTIF(M174:P174,"Yes")=4,"Pass","Fail"))</f>
        <v/>
      </c>
      <c r="AB174" s="31" t="str">
        <f aca="false">IF($A174="","",SUM(Q174:U174))</f>
        <v/>
      </c>
      <c r="AC174" s="31" t="str">
        <f aca="false">IF($A174="","",IF(OR(Y174="Fail",X174="Yes",V174&lt;&gt;"Yes"),"Not a fit",IF(OR(Z174="Fail",AA174="Fail"),"Development pathway",IF(AB174&gt;=Settings!$B$5,"Qualified: high intent",IF(AB174&gt;=Settings!$B$6,"Qualified: nurture","Development pathway")))))</f>
        <v/>
      </c>
      <c r="AD174" s="32"/>
    </row>
    <row r="175" customFormat="false" ht="15" hidden="false" customHeight="false" outlineLevel="0" collapsed="false">
      <c r="A175" s="29"/>
      <c r="B175" s="29"/>
      <c r="C175" s="29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1" t="str">
        <f aca="false">IF($A175="","",IF(COUNTIF(F175:I175,"Yes")=4,"Pass","Fail"))</f>
        <v/>
      </c>
      <c r="Z175" s="31" t="str">
        <f aca="false">IF($A175="","",IF(AND(IFERROR(MATCH(J175,Settings!$A$10:$A$14,0),0)&gt;=MATCH(Settings!$B$4,Settings!$A$10:$A$14,0),K175="Yes",L175="Yes"),"Pass","Fail"))</f>
        <v/>
      </c>
      <c r="AA175" s="31" t="str">
        <f aca="false">IF($A175="","",IF(COUNTIF(M175:P175,"Yes")=4,"Pass","Fail"))</f>
        <v/>
      </c>
      <c r="AB175" s="31" t="str">
        <f aca="false">IF($A175="","",SUM(Q175:U175))</f>
        <v/>
      </c>
      <c r="AC175" s="31" t="str">
        <f aca="false">IF($A175="","",IF(OR(Y175="Fail",X175="Yes",V175&lt;&gt;"Yes"),"Not a fit",IF(OR(Z175="Fail",AA175="Fail"),"Development pathway",IF(AB175&gt;=Settings!$B$5,"Qualified: high intent",IF(AB175&gt;=Settings!$B$6,"Qualified: nurture","Development pathway")))))</f>
        <v/>
      </c>
      <c r="AD175" s="32"/>
    </row>
    <row r="176" customFormat="false" ht="15" hidden="false" customHeight="false" outlineLevel="0" collapsed="false">
      <c r="A176" s="29"/>
      <c r="B176" s="29"/>
      <c r="C176" s="29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1" t="str">
        <f aca="false">IF($A176="","",IF(COUNTIF(F176:I176,"Yes")=4,"Pass","Fail"))</f>
        <v/>
      </c>
      <c r="Z176" s="31" t="str">
        <f aca="false">IF($A176="","",IF(AND(IFERROR(MATCH(J176,Settings!$A$10:$A$14,0),0)&gt;=MATCH(Settings!$B$4,Settings!$A$10:$A$14,0),K176="Yes",L176="Yes"),"Pass","Fail"))</f>
        <v/>
      </c>
      <c r="AA176" s="31" t="str">
        <f aca="false">IF($A176="","",IF(COUNTIF(M176:P176,"Yes")=4,"Pass","Fail"))</f>
        <v/>
      </c>
      <c r="AB176" s="31" t="str">
        <f aca="false">IF($A176="","",SUM(Q176:U176))</f>
        <v/>
      </c>
      <c r="AC176" s="31" t="str">
        <f aca="false">IF($A176="","",IF(OR(Y176="Fail",X176="Yes",V176&lt;&gt;"Yes"),"Not a fit",IF(OR(Z176="Fail",AA176="Fail"),"Development pathway",IF(AB176&gt;=Settings!$B$5,"Qualified: high intent",IF(AB176&gt;=Settings!$B$6,"Qualified: nurture","Development pathway")))))</f>
        <v/>
      </c>
      <c r="AD176" s="32"/>
    </row>
    <row r="177" customFormat="false" ht="15" hidden="false" customHeight="false" outlineLevel="0" collapsed="false">
      <c r="A177" s="29"/>
      <c r="B177" s="29"/>
      <c r="C177" s="29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1" t="str">
        <f aca="false">IF($A177="","",IF(COUNTIF(F177:I177,"Yes")=4,"Pass","Fail"))</f>
        <v/>
      </c>
      <c r="Z177" s="31" t="str">
        <f aca="false">IF($A177="","",IF(AND(IFERROR(MATCH(J177,Settings!$A$10:$A$14,0),0)&gt;=MATCH(Settings!$B$4,Settings!$A$10:$A$14,0),K177="Yes",L177="Yes"),"Pass","Fail"))</f>
        <v/>
      </c>
      <c r="AA177" s="31" t="str">
        <f aca="false">IF($A177="","",IF(COUNTIF(M177:P177,"Yes")=4,"Pass","Fail"))</f>
        <v/>
      </c>
      <c r="AB177" s="31" t="str">
        <f aca="false">IF($A177="","",SUM(Q177:U177))</f>
        <v/>
      </c>
      <c r="AC177" s="31" t="str">
        <f aca="false">IF($A177="","",IF(OR(Y177="Fail",X177="Yes",V177&lt;&gt;"Yes"),"Not a fit",IF(OR(Z177="Fail",AA177="Fail"),"Development pathway",IF(AB177&gt;=Settings!$B$5,"Qualified: high intent",IF(AB177&gt;=Settings!$B$6,"Qualified: nurture","Development pathway")))))</f>
        <v/>
      </c>
      <c r="AD177" s="32"/>
    </row>
    <row r="178" customFormat="false" ht="15" hidden="false" customHeight="false" outlineLevel="0" collapsed="false">
      <c r="A178" s="29"/>
      <c r="B178" s="29"/>
      <c r="C178" s="29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1" t="str">
        <f aca="false">IF($A178="","",IF(COUNTIF(F178:I178,"Yes")=4,"Pass","Fail"))</f>
        <v/>
      </c>
      <c r="Z178" s="31" t="str">
        <f aca="false">IF($A178="","",IF(AND(IFERROR(MATCH(J178,Settings!$A$10:$A$14,0),0)&gt;=MATCH(Settings!$B$4,Settings!$A$10:$A$14,0),K178="Yes",L178="Yes"),"Pass","Fail"))</f>
        <v/>
      </c>
      <c r="AA178" s="31" t="str">
        <f aca="false">IF($A178="","",IF(COUNTIF(M178:P178,"Yes")=4,"Pass","Fail"))</f>
        <v/>
      </c>
      <c r="AB178" s="31" t="str">
        <f aca="false">IF($A178="","",SUM(Q178:U178))</f>
        <v/>
      </c>
      <c r="AC178" s="31" t="str">
        <f aca="false">IF($A178="","",IF(OR(Y178="Fail",X178="Yes",V178&lt;&gt;"Yes"),"Not a fit",IF(OR(Z178="Fail",AA178="Fail"),"Development pathway",IF(AB178&gt;=Settings!$B$5,"Qualified: high intent",IF(AB178&gt;=Settings!$B$6,"Qualified: nurture","Development pathway")))))</f>
        <v/>
      </c>
      <c r="AD178" s="32"/>
    </row>
    <row r="179" customFormat="false" ht="15" hidden="false" customHeight="false" outlineLevel="0" collapsed="false">
      <c r="A179" s="29"/>
      <c r="B179" s="29"/>
      <c r="C179" s="29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1" t="str">
        <f aca="false">IF($A179="","",IF(COUNTIF(F179:I179,"Yes")=4,"Pass","Fail"))</f>
        <v/>
      </c>
      <c r="Z179" s="31" t="str">
        <f aca="false">IF($A179="","",IF(AND(IFERROR(MATCH(J179,Settings!$A$10:$A$14,0),0)&gt;=MATCH(Settings!$B$4,Settings!$A$10:$A$14,0),K179="Yes",L179="Yes"),"Pass","Fail"))</f>
        <v/>
      </c>
      <c r="AA179" s="31" t="str">
        <f aca="false">IF($A179="","",IF(COUNTIF(M179:P179,"Yes")=4,"Pass","Fail"))</f>
        <v/>
      </c>
      <c r="AB179" s="31" t="str">
        <f aca="false">IF($A179="","",SUM(Q179:U179))</f>
        <v/>
      </c>
      <c r="AC179" s="31" t="str">
        <f aca="false">IF($A179="","",IF(OR(Y179="Fail",X179="Yes",V179&lt;&gt;"Yes"),"Not a fit",IF(OR(Z179="Fail",AA179="Fail"),"Development pathway",IF(AB179&gt;=Settings!$B$5,"Qualified: high intent",IF(AB179&gt;=Settings!$B$6,"Qualified: nurture","Development pathway")))))</f>
        <v/>
      </c>
      <c r="AD179" s="32"/>
    </row>
    <row r="180" customFormat="false" ht="15" hidden="false" customHeight="false" outlineLevel="0" collapsed="false">
      <c r="A180" s="29"/>
      <c r="B180" s="29"/>
      <c r="C180" s="29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1" t="str">
        <f aca="false">IF($A180="","",IF(COUNTIF(F180:I180,"Yes")=4,"Pass","Fail"))</f>
        <v/>
      </c>
      <c r="Z180" s="31" t="str">
        <f aca="false">IF($A180="","",IF(AND(IFERROR(MATCH(J180,Settings!$A$10:$A$14,0),0)&gt;=MATCH(Settings!$B$4,Settings!$A$10:$A$14,0),K180="Yes",L180="Yes"),"Pass","Fail"))</f>
        <v/>
      </c>
      <c r="AA180" s="31" t="str">
        <f aca="false">IF($A180="","",IF(COUNTIF(M180:P180,"Yes")=4,"Pass","Fail"))</f>
        <v/>
      </c>
      <c r="AB180" s="31" t="str">
        <f aca="false">IF($A180="","",SUM(Q180:U180))</f>
        <v/>
      </c>
      <c r="AC180" s="31" t="str">
        <f aca="false">IF($A180="","",IF(OR(Y180="Fail",X180="Yes",V180&lt;&gt;"Yes"),"Not a fit",IF(OR(Z180="Fail",AA180="Fail"),"Development pathway",IF(AB180&gt;=Settings!$B$5,"Qualified: high intent",IF(AB180&gt;=Settings!$B$6,"Qualified: nurture","Development pathway")))))</f>
        <v/>
      </c>
      <c r="AD180" s="32"/>
    </row>
    <row r="181" customFormat="false" ht="15" hidden="false" customHeight="false" outlineLevel="0" collapsed="false">
      <c r="A181" s="29"/>
      <c r="B181" s="29"/>
      <c r="C181" s="29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1" t="str">
        <f aca="false">IF($A181="","",IF(COUNTIF(F181:I181,"Yes")=4,"Pass","Fail"))</f>
        <v/>
      </c>
      <c r="Z181" s="31" t="str">
        <f aca="false">IF($A181="","",IF(AND(IFERROR(MATCH(J181,Settings!$A$10:$A$14,0),0)&gt;=MATCH(Settings!$B$4,Settings!$A$10:$A$14,0),K181="Yes",L181="Yes"),"Pass","Fail"))</f>
        <v/>
      </c>
      <c r="AA181" s="31" t="str">
        <f aca="false">IF($A181="","",IF(COUNTIF(M181:P181,"Yes")=4,"Pass","Fail"))</f>
        <v/>
      </c>
      <c r="AB181" s="31" t="str">
        <f aca="false">IF($A181="","",SUM(Q181:U181))</f>
        <v/>
      </c>
      <c r="AC181" s="31" t="str">
        <f aca="false">IF($A181="","",IF(OR(Y181="Fail",X181="Yes",V181&lt;&gt;"Yes"),"Not a fit",IF(OR(Z181="Fail",AA181="Fail"),"Development pathway",IF(AB181&gt;=Settings!$B$5,"Qualified: high intent",IF(AB181&gt;=Settings!$B$6,"Qualified: nurture","Development pathway")))))</f>
        <v/>
      </c>
      <c r="AD181" s="32"/>
    </row>
    <row r="182" customFormat="false" ht="15" hidden="false" customHeight="false" outlineLevel="0" collapsed="false">
      <c r="A182" s="29"/>
      <c r="B182" s="29"/>
      <c r="C182" s="29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1" t="str">
        <f aca="false">IF($A182="","",IF(COUNTIF(F182:I182,"Yes")=4,"Pass","Fail"))</f>
        <v/>
      </c>
      <c r="Z182" s="31" t="str">
        <f aca="false">IF($A182="","",IF(AND(IFERROR(MATCH(J182,Settings!$A$10:$A$14,0),0)&gt;=MATCH(Settings!$B$4,Settings!$A$10:$A$14,0),K182="Yes",L182="Yes"),"Pass","Fail"))</f>
        <v/>
      </c>
      <c r="AA182" s="31" t="str">
        <f aca="false">IF($A182="","",IF(COUNTIF(M182:P182,"Yes")=4,"Pass","Fail"))</f>
        <v/>
      </c>
      <c r="AB182" s="31" t="str">
        <f aca="false">IF($A182="","",SUM(Q182:U182))</f>
        <v/>
      </c>
      <c r="AC182" s="31" t="str">
        <f aca="false">IF($A182="","",IF(OR(Y182="Fail",X182="Yes",V182&lt;&gt;"Yes"),"Not a fit",IF(OR(Z182="Fail",AA182="Fail"),"Development pathway",IF(AB182&gt;=Settings!$B$5,"Qualified: high intent",IF(AB182&gt;=Settings!$B$6,"Qualified: nurture","Development pathway")))))</f>
        <v/>
      </c>
      <c r="AD182" s="32"/>
    </row>
    <row r="183" customFormat="false" ht="15" hidden="false" customHeight="false" outlineLevel="0" collapsed="false">
      <c r="A183" s="29"/>
      <c r="B183" s="29"/>
      <c r="C183" s="29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1" t="str">
        <f aca="false">IF($A183="","",IF(COUNTIF(F183:I183,"Yes")=4,"Pass","Fail"))</f>
        <v/>
      </c>
      <c r="Z183" s="31" t="str">
        <f aca="false">IF($A183="","",IF(AND(IFERROR(MATCH(J183,Settings!$A$10:$A$14,0),0)&gt;=MATCH(Settings!$B$4,Settings!$A$10:$A$14,0),K183="Yes",L183="Yes"),"Pass","Fail"))</f>
        <v/>
      </c>
      <c r="AA183" s="31" t="str">
        <f aca="false">IF($A183="","",IF(COUNTIF(M183:P183,"Yes")=4,"Pass","Fail"))</f>
        <v/>
      </c>
      <c r="AB183" s="31" t="str">
        <f aca="false">IF($A183="","",SUM(Q183:U183))</f>
        <v/>
      </c>
      <c r="AC183" s="31" t="str">
        <f aca="false">IF($A183="","",IF(OR(Y183="Fail",X183="Yes",V183&lt;&gt;"Yes"),"Not a fit",IF(OR(Z183="Fail",AA183="Fail"),"Development pathway",IF(AB183&gt;=Settings!$B$5,"Qualified: high intent",IF(AB183&gt;=Settings!$B$6,"Qualified: nurture","Development pathway")))))</f>
        <v/>
      </c>
      <c r="AD183" s="32"/>
    </row>
    <row r="184" customFormat="false" ht="15" hidden="false" customHeight="false" outlineLevel="0" collapsed="false">
      <c r="A184" s="29"/>
      <c r="B184" s="29"/>
      <c r="C184" s="29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1" t="str">
        <f aca="false">IF($A184="","",IF(COUNTIF(F184:I184,"Yes")=4,"Pass","Fail"))</f>
        <v/>
      </c>
      <c r="Z184" s="31" t="str">
        <f aca="false">IF($A184="","",IF(AND(IFERROR(MATCH(J184,Settings!$A$10:$A$14,0),0)&gt;=MATCH(Settings!$B$4,Settings!$A$10:$A$14,0),K184="Yes",L184="Yes"),"Pass","Fail"))</f>
        <v/>
      </c>
      <c r="AA184" s="31" t="str">
        <f aca="false">IF($A184="","",IF(COUNTIF(M184:P184,"Yes")=4,"Pass","Fail"))</f>
        <v/>
      </c>
      <c r="AB184" s="31" t="str">
        <f aca="false">IF($A184="","",SUM(Q184:U184))</f>
        <v/>
      </c>
      <c r="AC184" s="31" t="str">
        <f aca="false">IF($A184="","",IF(OR(Y184="Fail",X184="Yes",V184&lt;&gt;"Yes"),"Not a fit",IF(OR(Z184="Fail",AA184="Fail"),"Development pathway",IF(AB184&gt;=Settings!$B$5,"Qualified: high intent",IF(AB184&gt;=Settings!$B$6,"Qualified: nurture","Development pathway")))))</f>
        <v/>
      </c>
      <c r="AD184" s="32"/>
    </row>
    <row r="185" customFormat="false" ht="15" hidden="false" customHeight="false" outlineLevel="0" collapsed="false">
      <c r="A185" s="29"/>
      <c r="B185" s="29"/>
      <c r="C185" s="29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1" t="str">
        <f aca="false">IF($A185="","",IF(COUNTIF(F185:I185,"Yes")=4,"Pass","Fail"))</f>
        <v/>
      </c>
      <c r="Z185" s="31" t="str">
        <f aca="false">IF($A185="","",IF(AND(IFERROR(MATCH(J185,Settings!$A$10:$A$14,0),0)&gt;=MATCH(Settings!$B$4,Settings!$A$10:$A$14,0),K185="Yes",L185="Yes"),"Pass","Fail"))</f>
        <v/>
      </c>
      <c r="AA185" s="31" t="str">
        <f aca="false">IF($A185="","",IF(COUNTIF(M185:P185,"Yes")=4,"Pass","Fail"))</f>
        <v/>
      </c>
      <c r="AB185" s="31" t="str">
        <f aca="false">IF($A185="","",SUM(Q185:U185))</f>
        <v/>
      </c>
      <c r="AC185" s="31" t="str">
        <f aca="false">IF($A185="","",IF(OR(Y185="Fail",X185="Yes",V185&lt;&gt;"Yes"),"Not a fit",IF(OR(Z185="Fail",AA185="Fail"),"Development pathway",IF(AB185&gt;=Settings!$B$5,"Qualified: high intent",IF(AB185&gt;=Settings!$B$6,"Qualified: nurture","Development pathway")))))</f>
        <v/>
      </c>
      <c r="AD185" s="32"/>
    </row>
    <row r="186" customFormat="false" ht="15" hidden="false" customHeight="false" outlineLevel="0" collapsed="false">
      <c r="A186" s="29"/>
      <c r="B186" s="29"/>
      <c r="C186" s="29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1" t="str">
        <f aca="false">IF($A186="","",IF(COUNTIF(F186:I186,"Yes")=4,"Pass","Fail"))</f>
        <v/>
      </c>
      <c r="Z186" s="31" t="str">
        <f aca="false">IF($A186="","",IF(AND(IFERROR(MATCH(J186,Settings!$A$10:$A$14,0),0)&gt;=MATCH(Settings!$B$4,Settings!$A$10:$A$14,0),K186="Yes",L186="Yes"),"Pass","Fail"))</f>
        <v/>
      </c>
      <c r="AA186" s="31" t="str">
        <f aca="false">IF($A186="","",IF(COUNTIF(M186:P186,"Yes")=4,"Pass","Fail"))</f>
        <v/>
      </c>
      <c r="AB186" s="31" t="str">
        <f aca="false">IF($A186="","",SUM(Q186:U186))</f>
        <v/>
      </c>
      <c r="AC186" s="31" t="str">
        <f aca="false">IF($A186="","",IF(OR(Y186="Fail",X186="Yes",V186&lt;&gt;"Yes"),"Not a fit",IF(OR(Z186="Fail",AA186="Fail"),"Development pathway",IF(AB186&gt;=Settings!$B$5,"Qualified: high intent",IF(AB186&gt;=Settings!$B$6,"Qualified: nurture","Development pathway")))))</f>
        <v/>
      </c>
      <c r="AD186" s="32"/>
    </row>
    <row r="187" customFormat="false" ht="15" hidden="false" customHeight="false" outlineLevel="0" collapsed="false">
      <c r="A187" s="29"/>
      <c r="B187" s="29"/>
      <c r="C187" s="29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1" t="str">
        <f aca="false">IF($A187="","",IF(COUNTIF(F187:I187,"Yes")=4,"Pass","Fail"))</f>
        <v/>
      </c>
      <c r="Z187" s="31" t="str">
        <f aca="false">IF($A187="","",IF(AND(IFERROR(MATCH(J187,Settings!$A$10:$A$14,0),0)&gt;=MATCH(Settings!$B$4,Settings!$A$10:$A$14,0),K187="Yes",L187="Yes"),"Pass","Fail"))</f>
        <v/>
      </c>
      <c r="AA187" s="31" t="str">
        <f aca="false">IF($A187="","",IF(COUNTIF(M187:P187,"Yes")=4,"Pass","Fail"))</f>
        <v/>
      </c>
      <c r="AB187" s="31" t="str">
        <f aca="false">IF($A187="","",SUM(Q187:U187))</f>
        <v/>
      </c>
      <c r="AC187" s="31" t="str">
        <f aca="false">IF($A187="","",IF(OR(Y187="Fail",X187="Yes",V187&lt;&gt;"Yes"),"Not a fit",IF(OR(Z187="Fail",AA187="Fail"),"Development pathway",IF(AB187&gt;=Settings!$B$5,"Qualified: high intent",IF(AB187&gt;=Settings!$B$6,"Qualified: nurture","Development pathway")))))</f>
        <v/>
      </c>
      <c r="AD187" s="32"/>
    </row>
    <row r="188" customFormat="false" ht="15" hidden="false" customHeight="false" outlineLevel="0" collapsed="false">
      <c r="A188" s="29"/>
      <c r="B188" s="29"/>
      <c r="C188" s="29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1" t="str">
        <f aca="false">IF($A188="","",IF(COUNTIF(F188:I188,"Yes")=4,"Pass","Fail"))</f>
        <v/>
      </c>
      <c r="Z188" s="31" t="str">
        <f aca="false">IF($A188="","",IF(AND(IFERROR(MATCH(J188,Settings!$A$10:$A$14,0),0)&gt;=MATCH(Settings!$B$4,Settings!$A$10:$A$14,0),K188="Yes",L188="Yes"),"Pass","Fail"))</f>
        <v/>
      </c>
      <c r="AA188" s="31" t="str">
        <f aca="false">IF($A188="","",IF(COUNTIF(M188:P188,"Yes")=4,"Pass","Fail"))</f>
        <v/>
      </c>
      <c r="AB188" s="31" t="str">
        <f aca="false">IF($A188="","",SUM(Q188:U188))</f>
        <v/>
      </c>
      <c r="AC188" s="31" t="str">
        <f aca="false">IF($A188="","",IF(OR(Y188="Fail",X188="Yes",V188&lt;&gt;"Yes"),"Not a fit",IF(OR(Z188="Fail",AA188="Fail"),"Development pathway",IF(AB188&gt;=Settings!$B$5,"Qualified: high intent",IF(AB188&gt;=Settings!$B$6,"Qualified: nurture","Development pathway")))))</f>
        <v/>
      </c>
      <c r="AD188" s="32"/>
    </row>
    <row r="189" customFormat="false" ht="15" hidden="false" customHeight="false" outlineLevel="0" collapsed="false">
      <c r="A189" s="29"/>
      <c r="B189" s="29"/>
      <c r="C189" s="29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1" t="str">
        <f aca="false">IF($A189="","",IF(COUNTIF(F189:I189,"Yes")=4,"Pass","Fail"))</f>
        <v/>
      </c>
      <c r="Z189" s="31" t="str">
        <f aca="false">IF($A189="","",IF(AND(IFERROR(MATCH(J189,Settings!$A$10:$A$14,0),0)&gt;=MATCH(Settings!$B$4,Settings!$A$10:$A$14,0),K189="Yes",L189="Yes"),"Pass","Fail"))</f>
        <v/>
      </c>
      <c r="AA189" s="31" t="str">
        <f aca="false">IF($A189="","",IF(COUNTIF(M189:P189,"Yes")=4,"Pass","Fail"))</f>
        <v/>
      </c>
      <c r="AB189" s="31" t="str">
        <f aca="false">IF($A189="","",SUM(Q189:U189))</f>
        <v/>
      </c>
      <c r="AC189" s="31" t="str">
        <f aca="false">IF($A189="","",IF(OR(Y189="Fail",X189="Yes",V189&lt;&gt;"Yes"),"Not a fit",IF(OR(Z189="Fail",AA189="Fail"),"Development pathway",IF(AB189&gt;=Settings!$B$5,"Qualified: high intent",IF(AB189&gt;=Settings!$B$6,"Qualified: nurture","Development pathway")))))</f>
        <v/>
      </c>
      <c r="AD189" s="32"/>
    </row>
    <row r="190" customFormat="false" ht="15" hidden="false" customHeight="false" outlineLevel="0" collapsed="false">
      <c r="A190" s="29"/>
      <c r="B190" s="29"/>
      <c r="C190" s="29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1" t="str">
        <f aca="false">IF($A190="","",IF(COUNTIF(F190:I190,"Yes")=4,"Pass","Fail"))</f>
        <v/>
      </c>
      <c r="Z190" s="31" t="str">
        <f aca="false">IF($A190="","",IF(AND(IFERROR(MATCH(J190,Settings!$A$10:$A$14,0),0)&gt;=MATCH(Settings!$B$4,Settings!$A$10:$A$14,0),K190="Yes",L190="Yes"),"Pass","Fail"))</f>
        <v/>
      </c>
      <c r="AA190" s="31" t="str">
        <f aca="false">IF($A190="","",IF(COUNTIF(M190:P190,"Yes")=4,"Pass","Fail"))</f>
        <v/>
      </c>
      <c r="AB190" s="31" t="str">
        <f aca="false">IF($A190="","",SUM(Q190:U190))</f>
        <v/>
      </c>
      <c r="AC190" s="31" t="str">
        <f aca="false">IF($A190="","",IF(OR(Y190="Fail",X190="Yes",V190&lt;&gt;"Yes"),"Not a fit",IF(OR(Z190="Fail",AA190="Fail"),"Development pathway",IF(AB190&gt;=Settings!$B$5,"Qualified: high intent",IF(AB190&gt;=Settings!$B$6,"Qualified: nurture","Development pathway")))))</f>
        <v/>
      </c>
      <c r="AD190" s="32"/>
    </row>
    <row r="191" customFormat="false" ht="15" hidden="false" customHeight="false" outlineLevel="0" collapsed="false">
      <c r="A191" s="29"/>
      <c r="B191" s="29"/>
      <c r="C191" s="29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1" t="str">
        <f aca="false">IF($A191="","",IF(COUNTIF(F191:I191,"Yes")=4,"Pass","Fail"))</f>
        <v/>
      </c>
      <c r="Z191" s="31" t="str">
        <f aca="false">IF($A191="","",IF(AND(IFERROR(MATCH(J191,Settings!$A$10:$A$14,0),0)&gt;=MATCH(Settings!$B$4,Settings!$A$10:$A$14,0),K191="Yes",L191="Yes"),"Pass","Fail"))</f>
        <v/>
      </c>
      <c r="AA191" s="31" t="str">
        <f aca="false">IF($A191="","",IF(COUNTIF(M191:P191,"Yes")=4,"Pass","Fail"))</f>
        <v/>
      </c>
      <c r="AB191" s="31" t="str">
        <f aca="false">IF($A191="","",SUM(Q191:U191))</f>
        <v/>
      </c>
      <c r="AC191" s="31" t="str">
        <f aca="false">IF($A191="","",IF(OR(Y191="Fail",X191="Yes",V191&lt;&gt;"Yes"),"Not a fit",IF(OR(Z191="Fail",AA191="Fail"),"Development pathway",IF(AB191&gt;=Settings!$B$5,"Qualified: high intent",IF(AB191&gt;=Settings!$B$6,"Qualified: nurture","Development pathway")))))</f>
        <v/>
      </c>
      <c r="AD191" s="32"/>
    </row>
    <row r="192" customFormat="false" ht="15" hidden="false" customHeight="false" outlineLevel="0" collapsed="false">
      <c r="A192" s="29"/>
      <c r="B192" s="29"/>
      <c r="C192" s="29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1" t="str">
        <f aca="false">IF($A192="","",IF(COUNTIF(F192:I192,"Yes")=4,"Pass","Fail"))</f>
        <v/>
      </c>
      <c r="Z192" s="31" t="str">
        <f aca="false">IF($A192="","",IF(AND(IFERROR(MATCH(J192,Settings!$A$10:$A$14,0),0)&gt;=MATCH(Settings!$B$4,Settings!$A$10:$A$14,0),K192="Yes",L192="Yes"),"Pass","Fail"))</f>
        <v/>
      </c>
      <c r="AA192" s="31" t="str">
        <f aca="false">IF($A192="","",IF(COUNTIF(M192:P192,"Yes")=4,"Pass","Fail"))</f>
        <v/>
      </c>
      <c r="AB192" s="31" t="str">
        <f aca="false">IF($A192="","",SUM(Q192:U192))</f>
        <v/>
      </c>
      <c r="AC192" s="31" t="str">
        <f aca="false">IF($A192="","",IF(OR(Y192="Fail",X192="Yes",V192&lt;&gt;"Yes"),"Not a fit",IF(OR(Z192="Fail",AA192="Fail"),"Development pathway",IF(AB192&gt;=Settings!$B$5,"Qualified: high intent",IF(AB192&gt;=Settings!$B$6,"Qualified: nurture","Development pathway")))))</f>
        <v/>
      </c>
      <c r="AD192" s="32"/>
    </row>
    <row r="193" customFormat="false" ht="15" hidden="false" customHeight="false" outlineLevel="0" collapsed="false">
      <c r="A193" s="29"/>
      <c r="B193" s="29"/>
      <c r="C193" s="29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1" t="str">
        <f aca="false">IF($A193="","",IF(COUNTIF(F193:I193,"Yes")=4,"Pass","Fail"))</f>
        <v/>
      </c>
      <c r="Z193" s="31" t="str">
        <f aca="false">IF($A193="","",IF(AND(IFERROR(MATCH(J193,Settings!$A$10:$A$14,0),0)&gt;=MATCH(Settings!$B$4,Settings!$A$10:$A$14,0),K193="Yes",L193="Yes"),"Pass","Fail"))</f>
        <v/>
      </c>
      <c r="AA193" s="31" t="str">
        <f aca="false">IF($A193="","",IF(COUNTIF(M193:P193,"Yes")=4,"Pass","Fail"))</f>
        <v/>
      </c>
      <c r="AB193" s="31" t="str">
        <f aca="false">IF($A193="","",SUM(Q193:U193))</f>
        <v/>
      </c>
      <c r="AC193" s="31" t="str">
        <f aca="false">IF($A193="","",IF(OR(Y193="Fail",X193="Yes",V193&lt;&gt;"Yes"),"Not a fit",IF(OR(Z193="Fail",AA193="Fail"),"Development pathway",IF(AB193&gt;=Settings!$B$5,"Qualified: high intent",IF(AB193&gt;=Settings!$B$6,"Qualified: nurture","Development pathway")))))</f>
        <v/>
      </c>
      <c r="AD193" s="32"/>
    </row>
    <row r="194" customFormat="false" ht="15" hidden="false" customHeight="false" outlineLevel="0" collapsed="false">
      <c r="A194" s="29"/>
      <c r="B194" s="29"/>
      <c r="C194" s="29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1" t="str">
        <f aca="false">IF($A194="","",IF(COUNTIF(F194:I194,"Yes")=4,"Pass","Fail"))</f>
        <v/>
      </c>
      <c r="Z194" s="31" t="str">
        <f aca="false">IF($A194="","",IF(AND(IFERROR(MATCH(J194,Settings!$A$10:$A$14,0),0)&gt;=MATCH(Settings!$B$4,Settings!$A$10:$A$14,0),K194="Yes",L194="Yes"),"Pass","Fail"))</f>
        <v/>
      </c>
      <c r="AA194" s="31" t="str">
        <f aca="false">IF($A194="","",IF(COUNTIF(M194:P194,"Yes")=4,"Pass","Fail"))</f>
        <v/>
      </c>
      <c r="AB194" s="31" t="str">
        <f aca="false">IF($A194="","",SUM(Q194:U194))</f>
        <v/>
      </c>
      <c r="AC194" s="31" t="str">
        <f aca="false">IF($A194="","",IF(OR(Y194="Fail",X194="Yes",V194&lt;&gt;"Yes"),"Not a fit",IF(OR(Z194="Fail",AA194="Fail"),"Development pathway",IF(AB194&gt;=Settings!$B$5,"Qualified: high intent",IF(AB194&gt;=Settings!$B$6,"Qualified: nurture","Development pathway")))))</f>
        <v/>
      </c>
      <c r="AD194" s="32"/>
    </row>
    <row r="195" customFormat="false" ht="15" hidden="false" customHeight="false" outlineLevel="0" collapsed="false">
      <c r="A195" s="29"/>
      <c r="B195" s="29"/>
      <c r="C195" s="29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1" t="str">
        <f aca="false">IF($A195="","",IF(COUNTIF(F195:I195,"Yes")=4,"Pass","Fail"))</f>
        <v/>
      </c>
      <c r="Z195" s="31" t="str">
        <f aca="false">IF($A195="","",IF(AND(IFERROR(MATCH(J195,Settings!$A$10:$A$14,0),0)&gt;=MATCH(Settings!$B$4,Settings!$A$10:$A$14,0),K195="Yes",L195="Yes"),"Pass","Fail"))</f>
        <v/>
      </c>
      <c r="AA195" s="31" t="str">
        <f aca="false">IF($A195="","",IF(COUNTIF(M195:P195,"Yes")=4,"Pass","Fail"))</f>
        <v/>
      </c>
      <c r="AB195" s="31" t="str">
        <f aca="false">IF($A195="","",SUM(Q195:U195))</f>
        <v/>
      </c>
      <c r="AC195" s="31" t="str">
        <f aca="false">IF($A195="","",IF(OR(Y195="Fail",X195="Yes",V195&lt;&gt;"Yes"),"Not a fit",IF(OR(Z195="Fail",AA195="Fail"),"Development pathway",IF(AB195&gt;=Settings!$B$5,"Qualified: high intent",IF(AB195&gt;=Settings!$B$6,"Qualified: nurture","Development pathway")))))</f>
        <v/>
      </c>
      <c r="AD195" s="32"/>
    </row>
    <row r="196" customFormat="false" ht="15" hidden="false" customHeight="false" outlineLevel="0" collapsed="false">
      <c r="A196" s="29"/>
      <c r="B196" s="29"/>
      <c r="C196" s="29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1" t="str">
        <f aca="false">IF($A196="","",IF(COUNTIF(F196:I196,"Yes")=4,"Pass","Fail"))</f>
        <v/>
      </c>
      <c r="Z196" s="31" t="str">
        <f aca="false">IF($A196="","",IF(AND(IFERROR(MATCH(J196,Settings!$A$10:$A$14,0),0)&gt;=MATCH(Settings!$B$4,Settings!$A$10:$A$14,0),K196="Yes",L196="Yes"),"Pass","Fail"))</f>
        <v/>
      </c>
      <c r="AA196" s="31" t="str">
        <f aca="false">IF($A196="","",IF(COUNTIF(M196:P196,"Yes")=4,"Pass","Fail"))</f>
        <v/>
      </c>
      <c r="AB196" s="31" t="str">
        <f aca="false">IF($A196="","",SUM(Q196:U196))</f>
        <v/>
      </c>
      <c r="AC196" s="31" t="str">
        <f aca="false">IF($A196="","",IF(OR(Y196="Fail",X196="Yes",V196&lt;&gt;"Yes"),"Not a fit",IF(OR(Z196="Fail",AA196="Fail"),"Development pathway",IF(AB196&gt;=Settings!$B$5,"Qualified: high intent",IF(AB196&gt;=Settings!$B$6,"Qualified: nurture","Development pathway")))))</f>
        <v/>
      </c>
      <c r="AD196" s="32"/>
    </row>
    <row r="197" customFormat="false" ht="15" hidden="false" customHeight="false" outlineLevel="0" collapsed="false">
      <c r="A197" s="29"/>
      <c r="B197" s="29"/>
      <c r="C197" s="29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1" t="str">
        <f aca="false">IF($A197="","",IF(COUNTIF(F197:I197,"Yes")=4,"Pass","Fail"))</f>
        <v/>
      </c>
      <c r="Z197" s="31" t="str">
        <f aca="false">IF($A197="","",IF(AND(IFERROR(MATCH(J197,Settings!$A$10:$A$14,0),0)&gt;=MATCH(Settings!$B$4,Settings!$A$10:$A$14,0),K197="Yes",L197="Yes"),"Pass","Fail"))</f>
        <v/>
      </c>
      <c r="AA197" s="31" t="str">
        <f aca="false">IF($A197="","",IF(COUNTIF(M197:P197,"Yes")=4,"Pass","Fail"))</f>
        <v/>
      </c>
      <c r="AB197" s="31" t="str">
        <f aca="false">IF($A197="","",SUM(Q197:U197))</f>
        <v/>
      </c>
      <c r="AC197" s="31" t="str">
        <f aca="false">IF($A197="","",IF(OR(Y197="Fail",X197="Yes",V197&lt;&gt;"Yes"),"Not a fit",IF(OR(Z197="Fail",AA197="Fail"),"Development pathway",IF(AB197&gt;=Settings!$B$5,"Qualified: high intent",IF(AB197&gt;=Settings!$B$6,"Qualified: nurture","Development pathway")))))</f>
        <v/>
      </c>
      <c r="AD197" s="32"/>
    </row>
    <row r="198" customFormat="false" ht="15" hidden="false" customHeight="false" outlineLevel="0" collapsed="false">
      <c r="A198" s="29"/>
      <c r="B198" s="29"/>
      <c r="C198" s="29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1" t="str">
        <f aca="false">IF($A198="","",IF(COUNTIF(F198:I198,"Yes")=4,"Pass","Fail"))</f>
        <v/>
      </c>
      <c r="Z198" s="31" t="str">
        <f aca="false">IF($A198="","",IF(AND(IFERROR(MATCH(J198,Settings!$A$10:$A$14,0),0)&gt;=MATCH(Settings!$B$4,Settings!$A$10:$A$14,0),K198="Yes",L198="Yes"),"Pass","Fail"))</f>
        <v/>
      </c>
      <c r="AA198" s="31" t="str">
        <f aca="false">IF($A198="","",IF(COUNTIF(M198:P198,"Yes")=4,"Pass","Fail"))</f>
        <v/>
      </c>
      <c r="AB198" s="31" t="str">
        <f aca="false">IF($A198="","",SUM(Q198:U198))</f>
        <v/>
      </c>
      <c r="AC198" s="31" t="str">
        <f aca="false">IF($A198="","",IF(OR(Y198="Fail",X198="Yes",V198&lt;&gt;"Yes"),"Not a fit",IF(OR(Z198="Fail",AA198="Fail"),"Development pathway",IF(AB198&gt;=Settings!$B$5,"Qualified: high intent",IF(AB198&gt;=Settings!$B$6,"Qualified: nurture","Development pathway")))))</f>
        <v/>
      </c>
      <c r="AD198" s="32"/>
    </row>
    <row r="199" customFormat="false" ht="15" hidden="false" customHeight="false" outlineLevel="0" collapsed="false">
      <c r="A199" s="29"/>
      <c r="B199" s="29"/>
      <c r="C199" s="29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1" t="str">
        <f aca="false">IF($A199="","",IF(COUNTIF(F199:I199,"Yes")=4,"Pass","Fail"))</f>
        <v/>
      </c>
      <c r="Z199" s="31" t="str">
        <f aca="false">IF($A199="","",IF(AND(IFERROR(MATCH(J199,Settings!$A$10:$A$14,0),0)&gt;=MATCH(Settings!$B$4,Settings!$A$10:$A$14,0),K199="Yes",L199="Yes"),"Pass","Fail"))</f>
        <v/>
      </c>
      <c r="AA199" s="31" t="str">
        <f aca="false">IF($A199="","",IF(COUNTIF(M199:P199,"Yes")=4,"Pass","Fail"))</f>
        <v/>
      </c>
      <c r="AB199" s="31" t="str">
        <f aca="false">IF($A199="","",SUM(Q199:U199))</f>
        <v/>
      </c>
      <c r="AC199" s="31" t="str">
        <f aca="false">IF($A199="","",IF(OR(Y199="Fail",X199="Yes",V199&lt;&gt;"Yes"),"Not a fit",IF(OR(Z199="Fail",AA199="Fail"),"Development pathway",IF(AB199&gt;=Settings!$B$5,"Qualified: high intent",IF(AB199&gt;=Settings!$B$6,"Qualified: nurture","Development pathway")))))</f>
        <v/>
      </c>
      <c r="AD199" s="32"/>
    </row>
    <row r="200" customFormat="false" ht="15" hidden="false" customHeight="false" outlineLevel="0" collapsed="false">
      <c r="A200" s="29"/>
      <c r="B200" s="29"/>
      <c r="C200" s="29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1" t="str">
        <f aca="false">IF($A200="","",IF(COUNTIF(F200:I200,"Yes")=4,"Pass","Fail"))</f>
        <v/>
      </c>
      <c r="Z200" s="31" t="str">
        <f aca="false">IF($A200="","",IF(AND(IFERROR(MATCH(J200,Settings!$A$10:$A$14,0),0)&gt;=MATCH(Settings!$B$4,Settings!$A$10:$A$14,0),K200="Yes",L200="Yes"),"Pass","Fail"))</f>
        <v/>
      </c>
      <c r="AA200" s="31" t="str">
        <f aca="false">IF($A200="","",IF(COUNTIF(M200:P200,"Yes")=4,"Pass","Fail"))</f>
        <v/>
      </c>
      <c r="AB200" s="31" t="str">
        <f aca="false">IF($A200="","",SUM(Q200:U200))</f>
        <v/>
      </c>
      <c r="AC200" s="31" t="str">
        <f aca="false">IF($A200="","",IF(OR(Y200="Fail",X200="Yes",V200&lt;&gt;"Yes"),"Not a fit",IF(OR(Z200="Fail",AA200="Fail"),"Development pathway",IF(AB200&gt;=Settings!$B$5,"Qualified: high intent",IF(AB200&gt;=Settings!$B$6,"Qualified: nurture","Development pathway")))))</f>
        <v/>
      </c>
      <c r="AD200" s="32"/>
    </row>
    <row r="201" customFormat="false" ht="15" hidden="false" customHeight="false" outlineLevel="0" collapsed="false">
      <c r="A201" s="29"/>
      <c r="B201" s="29"/>
      <c r="C201" s="29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1" t="str">
        <f aca="false">IF($A201="","",IF(COUNTIF(F201:I201,"Yes")=4,"Pass","Fail"))</f>
        <v/>
      </c>
      <c r="Z201" s="31" t="str">
        <f aca="false">IF($A201="","",IF(AND(IFERROR(MATCH(J201,Settings!$A$10:$A$14,0),0)&gt;=MATCH(Settings!$B$4,Settings!$A$10:$A$14,0),K201="Yes",L201="Yes"),"Pass","Fail"))</f>
        <v/>
      </c>
      <c r="AA201" s="31" t="str">
        <f aca="false">IF($A201="","",IF(COUNTIF(M201:P201,"Yes")=4,"Pass","Fail"))</f>
        <v/>
      </c>
      <c r="AB201" s="31" t="str">
        <f aca="false">IF($A201="","",SUM(Q201:U201))</f>
        <v/>
      </c>
      <c r="AC201" s="31" t="str">
        <f aca="false">IF($A201="","",IF(OR(Y201="Fail",X201="Yes",V201&lt;&gt;"Yes"),"Not a fit",IF(OR(Z201="Fail",AA201="Fail"),"Development pathway",IF(AB201&gt;=Settings!$B$5,"Qualified: high intent",IF(AB201&gt;=Settings!$B$6,"Qualified: nurture","Development pathway")))))</f>
        <v/>
      </c>
      <c r="AD201" s="32"/>
    </row>
    <row r="202" customFormat="false" ht="15" hidden="false" customHeight="false" outlineLevel="0" collapsed="false">
      <c r="A202" s="29"/>
      <c r="B202" s="29"/>
      <c r="C202" s="29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1" t="str">
        <f aca="false">IF($A202="","",IF(COUNTIF(F202:I202,"Yes")=4,"Pass","Fail"))</f>
        <v/>
      </c>
      <c r="Z202" s="31" t="str">
        <f aca="false">IF($A202="","",IF(AND(IFERROR(MATCH(J202,Settings!$A$10:$A$14,0),0)&gt;=MATCH(Settings!$B$4,Settings!$A$10:$A$14,0),K202="Yes",L202="Yes"),"Pass","Fail"))</f>
        <v/>
      </c>
      <c r="AA202" s="31" t="str">
        <f aca="false">IF($A202="","",IF(COUNTIF(M202:P202,"Yes")=4,"Pass","Fail"))</f>
        <v/>
      </c>
      <c r="AB202" s="31" t="str">
        <f aca="false">IF($A202="","",SUM(Q202:U202))</f>
        <v/>
      </c>
      <c r="AC202" s="31" t="str">
        <f aca="false">IF($A202="","",IF(OR(Y202="Fail",X202="Yes",V202&lt;&gt;"Yes"),"Not a fit",IF(OR(Z202="Fail",AA202="Fail"),"Development pathway",IF(AB202&gt;=Settings!$B$5,"Qualified: high intent",IF(AB202&gt;=Settings!$B$6,"Qualified: nurture","Development pathway")))))</f>
        <v/>
      </c>
      <c r="AD202" s="32"/>
    </row>
    <row r="203" customFormat="false" ht="15" hidden="false" customHeight="false" outlineLevel="0" collapsed="false">
      <c r="A203" s="29"/>
      <c r="B203" s="29"/>
      <c r="C203" s="29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1" t="str">
        <f aca="false">IF($A203="","",IF(COUNTIF(F203:I203,"Yes")=4,"Pass","Fail"))</f>
        <v/>
      </c>
      <c r="Z203" s="31" t="str">
        <f aca="false">IF($A203="","",IF(AND(IFERROR(MATCH(J203,Settings!$A$10:$A$14,0),0)&gt;=MATCH(Settings!$B$4,Settings!$A$10:$A$14,0),K203="Yes",L203="Yes"),"Pass","Fail"))</f>
        <v/>
      </c>
      <c r="AA203" s="31" t="str">
        <f aca="false">IF($A203="","",IF(COUNTIF(M203:P203,"Yes")=4,"Pass","Fail"))</f>
        <v/>
      </c>
      <c r="AB203" s="31" t="str">
        <f aca="false">IF($A203="","",SUM(Q203:U203))</f>
        <v/>
      </c>
      <c r="AC203" s="31" t="str">
        <f aca="false">IF($A203="","",IF(OR(Y203="Fail",X203="Yes",V203&lt;&gt;"Yes"),"Not a fit",IF(OR(Z203="Fail",AA203="Fail"),"Development pathway",IF(AB203&gt;=Settings!$B$5,"Qualified: high intent",IF(AB203&gt;=Settings!$B$6,"Qualified: nurture","Development pathway")))))</f>
        <v/>
      </c>
      <c r="AD203" s="32"/>
    </row>
    <row r="204" customFormat="false" ht="15" hidden="false" customHeight="false" outlineLevel="0" collapsed="false">
      <c r="A204" s="29"/>
      <c r="B204" s="29"/>
      <c r="C204" s="29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1" t="str">
        <f aca="false">IF($A204="","",IF(COUNTIF(F204:I204,"Yes")=4,"Pass","Fail"))</f>
        <v/>
      </c>
      <c r="Z204" s="31" t="str">
        <f aca="false">IF($A204="","",IF(AND(IFERROR(MATCH(J204,Settings!$A$10:$A$14,0),0)&gt;=MATCH(Settings!$B$4,Settings!$A$10:$A$14,0),K204="Yes",L204="Yes"),"Pass","Fail"))</f>
        <v/>
      </c>
      <c r="AA204" s="31" t="str">
        <f aca="false">IF($A204="","",IF(COUNTIF(M204:P204,"Yes")=4,"Pass","Fail"))</f>
        <v/>
      </c>
      <c r="AB204" s="31" t="str">
        <f aca="false">IF($A204="","",SUM(Q204:U204))</f>
        <v/>
      </c>
      <c r="AC204" s="31" t="str">
        <f aca="false">IF($A204="","",IF(OR(Y204="Fail",X204="Yes",V204&lt;&gt;"Yes"),"Not a fit",IF(OR(Z204="Fail",AA204="Fail"),"Development pathway",IF(AB204&gt;=Settings!$B$5,"Qualified: high intent",IF(AB204&gt;=Settings!$B$6,"Qualified: nurture","Development pathway")))))</f>
        <v/>
      </c>
      <c r="AD204" s="32"/>
    </row>
    <row r="205" customFormat="false" ht="15" hidden="false" customHeight="false" outlineLevel="0" collapsed="false">
      <c r="A205" s="29"/>
      <c r="B205" s="29"/>
      <c r="C205" s="29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1" t="str">
        <f aca="false">IF($A205="","",IF(COUNTIF(F205:I205,"Yes")=4,"Pass","Fail"))</f>
        <v/>
      </c>
      <c r="Z205" s="31" t="str">
        <f aca="false">IF($A205="","",IF(AND(IFERROR(MATCH(J205,Settings!$A$10:$A$14,0),0)&gt;=MATCH(Settings!$B$4,Settings!$A$10:$A$14,0),K205="Yes",L205="Yes"),"Pass","Fail"))</f>
        <v/>
      </c>
      <c r="AA205" s="31" t="str">
        <f aca="false">IF($A205="","",IF(COUNTIF(M205:P205,"Yes")=4,"Pass","Fail"))</f>
        <v/>
      </c>
      <c r="AB205" s="31" t="str">
        <f aca="false">IF($A205="","",SUM(Q205:U205))</f>
        <v/>
      </c>
      <c r="AC205" s="31" t="str">
        <f aca="false">IF($A205="","",IF(OR(Y205="Fail",X205="Yes",V205&lt;&gt;"Yes"),"Not a fit",IF(OR(Z205="Fail",AA205="Fail"),"Development pathway",IF(AB205&gt;=Settings!$B$5,"Qualified: high intent",IF(AB205&gt;=Settings!$B$6,"Qualified: nurture","Development pathway")))))</f>
        <v/>
      </c>
      <c r="AD205" s="32"/>
    </row>
    <row r="206" customFormat="false" ht="15" hidden="false" customHeight="false" outlineLevel="0" collapsed="false">
      <c r="A206" s="29"/>
      <c r="B206" s="29"/>
      <c r="C206" s="29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1" t="str">
        <f aca="false">IF($A206="","",IF(COUNTIF(F206:I206,"Yes")=4,"Pass","Fail"))</f>
        <v/>
      </c>
      <c r="Z206" s="31" t="str">
        <f aca="false">IF($A206="","",IF(AND(IFERROR(MATCH(J206,Settings!$A$10:$A$14,0),0)&gt;=MATCH(Settings!$B$4,Settings!$A$10:$A$14,0),K206="Yes",L206="Yes"),"Pass","Fail"))</f>
        <v/>
      </c>
      <c r="AA206" s="31" t="str">
        <f aca="false">IF($A206="","",IF(COUNTIF(M206:P206,"Yes")=4,"Pass","Fail"))</f>
        <v/>
      </c>
      <c r="AB206" s="31" t="str">
        <f aca="false">IF($A206="","",SUM(Q206:U206))</f>
        <v/>
      </c>
      <c r="AC206" s="31" t="str">
        <f aca="false">IF($A206="","",IF(OR(Y206="Fail",X206="Yes",V206&lt;&gt;"Yes"),"Not a fit",IF(OR(Z206="Fail",AA206="Fail"),"Development pathway",IF(AB206&gt;=Settings!$B$5,"Qualified: high intent",IF(AB206&gt;=Settings!$B$6,"Qualified: nurture","Development pathway")))))</f>
        <v/>
      </c>
      <c r="AD206" s="32"/>
    </row>
    <row r="207" customFormat="false" ht="15" hidden="false" customHeight="false" outlineLevel="0" collapsed="false">
      <c r="A207" s="29"/>
      <c r="B207" s="29"/>
      <c r="C207" s="29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1" t="str">
        <f aca="false">IF($A207="","",IF(COUNTIF(F207:I207,"Yes")=4,"Pass","Fail"))</f>
        <v/>
      </c>
      <c r="Z207" s="31" t="str">
        <f aca="false">IF($A207="","",IF(AND(IFERROR(MATCH(J207,Settings!$A$10:$A$14,0),0)&gt;=MATCH(Settings!$B$4,Settings!$A$10:$A$14,0),K207="Yes",L207="Yes"),"Pass","Fail"))</f>
        <v/>
      </c>
      <c r="AA207" s="31" t="str">
        <f aca="false">IF($A207="","",IF(COUNTIF(M207:P207,"Yes")=4,"Pass","Fail"))</f>
        <v/>
      </c>
      <c r="AB207" s="31" t="str">
        <f aca="false">IF($A207="","",SUM(Q207:U207))</f>
        <v/>
      </c>
      <c r="AC207" s="31" t="str">
        <f aca="false">IF($A207="","",IF(OR(Y207="Fail",X207="Yes",V207&lt;&gt;"Yes"),"Not a fit",IF(OR(Z207="Fail",AA207="Fail"),"Development pathway",IF(AB207&gt;=Settings!$B$5,"Qualified: high intent",IF(AB207&gt;=Settings!$B$6,"Qualified: nurture","Development pathway")))))</f>
        <v/>
      </c>
      <c r="AD207" s="32"/>
    </row>
    <row r="208" customFormat="false" ht="15" hidden="false" customHeight="false" outlineLevel="0" collapsed="false">
      <c r="A208" s="29"/>
      <c r="B208" s="29"/>
      <c r="C208" s="29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1" t="str">
        <f aca="false">IF($A208="","",IF(COUNTIF(F208:I208,"Yes")=4,"Pass","Fail"))</f>
        <v/>
      </c>
      <c r="Z208" s="31" t="str">
        <f aca="false">IF($A208="","",IF(AND(IFERROR(MATCH(J208,Settings!$A$10:$A$14,0),0)&gt;=MATCH(Settings!$B$4,Settings!$A$10:$A$14,0),K208="Yes",L208="Yes"),"Pass","Fail"))</f>
        <v/>
      </c>
      <c r="AA208" s="31" t="str">
        <f aca="false">IF($A208="","",IF(COUNTIF(M208:P208,"Yes")=4,"Pass","Fail"))</f>
        <v/>
      </c>
      <c r="AB208" s="31" t="str">
        <f aca="false">IF($A208="","",SUM(Q208:U208))</f>
        <v/>
      </c>
      <c r="AC208" s="31" t="str">
        <f aca="false">IF($A208="","",IF(OR(Y208="Fail",X208="Yes",V208&lt;&gt;"Yes"),"Not a fit",IF(OR(Z208="Fail",AA208="Fail"),"Development pathway",IF(AB208&gt;=Settings!$B$5,"Qualified: high intent",IF(AB208&gt;=Settings!$B$6,"Qualified: nurture","Development pathway")))))</f>
        <v/>
      </c>
      <c r="AD208" s="32"/>
    </row>
    <row r="209" customFormat="false" ht="15" hidden="false" customHeight="false" outlineLevel="0" collapsed="false">
      <c r="A209" s="29"/>
      <c r="B209" s="29"/>
      <c r="C209" s="29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1" t="str">
        <f aca="false">IF($A209="","",IF(COUNTIF(F209:I209,"Yes")=4,"Pass","Fail"))</f>
        <v/>
      </c>
      <c r="Z209" s="31" t="str">
        <f aca="false">IF($A209="","",IF(AND(IFERROR(MATCH(J209,Settings!$A$10:$A$14,0),0)&gt;=MATCH(Settings!$B$4,Settings!$A$10:$A$14,0),K209="Yes",L209="Yes"),"Pass","Fail"))</f>
        <v/>
      </c>
      <c r="AA209" s="31" t="str">
        <f aca="false">IF($A209="","",IF(COUNTIF(M209:P209,"Yes")=4,"Pass","Fail"))</f>
        <v/>
      </c>
      <c r="AB209" s="31" t="str">
        <f aca="false">IF($A209="","",SUM(Q209:U209))</f>
        <v/>
      </c>
      <c r="AC209" s="31" t="str">
        <f aca="false">IF($A209="","",IF(OR(Y209="Fail",X209="Yes",V209&lt;&gt;"Yes"),"Not a fit",IF(OR(Z209="Fail",AA209="Fail"),"Development pathway",IF(AB209&gt;=Settings!$B$5,"Qualified: high intent",IF(AB209&gt;=Settings!$B$6,"Qualified: nurture","Development pathway")))))</f>
        <v/>
      </c>
      <c r="AD209" s="32"/>
    </row>
    <row r="210" customFormat="false" ht="15" hidden="false" customHeight="false" outlineLevel="0" collapsed="false">
      <c r="A210" s="29"/>
      <c r="B210" s="29"/>
      <c r="C210" s="29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1" t="str">
        <f aca="false">IF($A210="","",IF(COUNTIF(F210:I210,"Yes")=4,"Pass","Fail"))</f>
        <v/>
      </c>
      <c r="Z210" s="31" t="str">
        <f aca="false">IF($A210="","",IF(AND(IFERROR(MATCH(J210,Settings!$A$10:$A$14,0),0)&gt;=MATCH(Settings!$B$4,Settings!$A$10:$A$14,0),K210="Yes",L210="Yes"),"Pass","Fail"))</f>
        <v/>
      </c>
      <c r="AA210" s="31" t="str">
        <f aca="false">IF($A210="","",IF(COUNTIF(M210:P210,"Yes")=4,"Pass","Fail"))</f>
        <v/>
      </c>
      <c r="AB210" s="31" t="str">
        <f aca="false">IF($A210="","",SUM(Q210:U210))</f>
        <v/>
      </c>
      <c r="AC210" s="31" t="str">
        <f aca="false">IF($A210="","",IF(OR(Y210="Fail",X210="Yes",V210&lt;&gt;"Yes"),"Not a fit",IF(OR(Z210="Fail",AA210="Fail"),"Development pathway",IF(AB210&gt;=Settings!$B$5,"Qualified: high intent",IF(AB210&gt;=Settings!$B$6,"Qualified: nurture","Development pathway")))))</f>
        <v/>
      </c>
      <c r="AD210" s="32"/>
    </row>
    <row r="211" customFormat="false" ht="15" hidden="false" customHeight="false" outlineLevel="0" collapsed="false">
      <c r="A211" s="29"/>
      <c r="B211" s="29"/>
      <c r="C211" s="29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1" t="str">
        <f aca="false">IF($A211="","",IF(COUNTIF(F211:I211,"Yes")=4,"Pass","Fail"))</f>
        <v/>
      </c>
      <c r="Z211" s="31" t="str">
        <f aca="false">IF($A211="","",IF(AND(IFERROR(MATCH(J211,Settings!$A$10:$A$14,0),0)&gt;=MATCH(Settings!$B$4,Settings!$A$10:$A$14,0),K211="Yes",L211="Yes"),"Pass","Fail"))</f>
        <v/>
      </c>
      <c r="AA211" s="31" t="str">
        <f aca="false">IF($A211="","",IF(COUNTIF(M211:P211,"Yes")=4,"Pass","Fail"))</f>
        <v/>
      </c>
      <c r="AB211" s="31" t="str">
        <f aca="false">IF($A211="","",SUM(Q211:U211))</f>
        <v/>
      </c>
      <c r="AC211" s="31" t="str">
        <f aca="false">IF($A211="","",IF(OR(Y211="Fail",X211="Yes",V211&lt;&gt;"Yes"),"Not a fit",IF(OR(Z211="Fail",AA211="Fail"),"Development pathway",IF(AB211&gt;=Settings!$B$5,"Qualified: high intent",IF(AB211&gt;=Settings!$B$6,"Qualified: nurture","Development pathway")))))</f>
        <v/>
      </c>
      <c r="AD211" s="32"/>
    </row>
    <row r="212" customFormat="false" ht="15" hidden="false" customHeight="false" outlineLevel="0" collapsed="false">
      <c r="A212" s="29"/>
      <c r="B212" s="29"/>
      <c r="C212" s="29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1" t="str">
        <f aca="false">IF($A212="","",IF(COUNTIF(F212:I212,"Yes")=4,"Pass","Fail"))</f>
        <v/>
      </c>
      <c r="Z212" s="31" t="str">
        <f aca="false">IF($A212="","",IF(AND(IFERROR(MATCH(J212,Settings!$A$10:$A$14,0),0)&gt;=MATCH(Settings!$B$4,Settings!$A$10:$A$14,0),K212="Yes",L212="Yes"),"Pass","Fail"))</f>
        <v/>
      </c>
      <c r="AA212" s="31" t="str">
        <f aca="false">IF($A212="","",IF(COUNTIF(M212:P212,"Yes")=4,"Pass","Fail"))</f>
        <v/>
      </c>
      <c r="AB212" s="31" t="str">
        <f aca="false">IF($A212="","",SUM(Q212:U212))</f>
        <v/>
      </c>
      <c r="AC212" s="31" t="str">
        <f aca="false">IF($A212="","",IF(OR(Y212="Fail",X212="Yes",V212&lt;&gt;"Yes"),"Not a fit",IF(OR(Z212="Fail",AA212="Fail"),"Development pathway",IF(AB212&gt;=Settings!$B$5,"Qualified: high intent",IF(AB212&gt;=Settings!$B$6,"Qualified: nurture","Development pathway")))))</f>
        <v/>
      </c>
      <c r="AD212" s="32"/>
    </row>
    <row r="213" customFormat="false" ht="15" hidden="false" customHeight="false" outlineLevel="0" collapsed="false">
      <c r="A213" s="29"/>
      <c r="B213" s="29"/>
      <c r="C213" s="29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1" t="str">
        <f aca="false">IF($A213="","",IF(COUNTIF(F213:I213,"Yes")=4,"Pass","Fail"))</f>
        <v/>
      </c>
      <c r="Z213" s="31" t="str">
        <f aca="false">IF($A213="","",IF(AND(IFERROR(MATCH(J213,Settings!$A$10:$A$14,0),0)&gt;=MATCH(Settings!$B$4,Settings!$A$10:$A$14,0),K213="Yes",L213="Yes"),"Pass","Fail"))</f>
        <v/>
      </c>
      <c r="AA213" s="31" t="str">
        <f aca="false">IF($A213="","",IF(COUNTIF(M213:P213,"Yes")=4,"Pass","Fail"))</f>
        <v/>
      </c>
      <c r="AB213" s="31" t="str">
        <f aca="false">IF($A213="","",SUM(Q213:U213))</f>
        <v/>
      </c>
      <c r="AC213" s="31" t="str">
        <f aca="false">IF($A213="","",IF(OR(Y213="Fail",X213="Yes",V213&lt;&gt;"Yes"),"Not a fit",IF(OR(Z213="Fail",AA213="Fail"),"Development pathway",IF(AB213&gt;=Settings!$B$5,"Qualified: high intent",IF(AB213&gt;=Settings!$B$6,"Qualified: nurture","Development pathway")))))</f>
        <v/>
      </c>
      <c r="AD213" s="32"/>
    </row>
    <row r="214" customFormat="false" ht="15" hidden="false" customHeight="false" outlineLevel="0" collapsed="false">
      <c r="A214" s="29"/>
      <c r="B214" s="29"/>
      <c r="C214" s="29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1" t="str">
        <f aca="false">IF($A214="","",IF(COUNTIF(F214:I214,"Yes")=4,"Pass","Fail"))</f>
        <v/>
      </c>
      <c r="Z214" s="31" t="str">
        <f aca="false">IF($A214="","",IF(AND(IFERROR(MATCH(J214,Settings!$A$10:$A$14,0),0)&gt;=MATCH(Settings!$B$4,Settings!$A$10:$A$14,0),K214="Yes",L214="Yes"),"Pass","Fail"))</f>
        <v/>
      </c>
      <c r="AA214" s="31" t="str">
        <f aca="false">IF($A214="","",IF(COUNTIF(M214:P214,"Yes")=4,"Pass","Fail"))</f>
        <v/>
      </c>
      <c r="AB214" s="31" t="str">
        <f aca="false">IF($A214="","",SUM(Q214:U214))</f>
        <v/>
      </c>
      <c r="AC214" s="31" t="str">
        <f aca="false">IF($A214="","",IF(OR(Y214="Fail",X214="Yes",V214&lt;&gt;"Yes"),"Not a fit",IF(OR(Z214="Fail",AA214="Fail"),"Development pathway",IF(AB214&gt;=Settings!$B$5,"Qualified: high intent",IF(AB214&gt;=Settings!$B$6,"Qualified: nurture","Development pathway")))))</f>
        <v/>
      </c>
      <c r="AD214" s="32"/>
    </row>
    <row r="215" customFormat="false" ht="15" hidden="false" customHeight="false" outlineLevel="0" collapsed="false">
      <c r="A215" s="29"/>
      <c r="B215" s="29"/>
      <c r="C215" s="29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1" t="str">
        <f aca="false">IF($A215="","",IF(COUNTIF(F215:I215,"Yes")=4,"Pass","Fail"))</f>
        <v/>
      </c>
      <c r="Z215" s="31" t="str">
        <f aca="false">IF($A215="","",IF(AND(IFERROR(MATCH(J215,Settings!$A$10:$A$14,0),0)&gt;=MATCH(Settings!$B$4,Settings!$A$10:$A$14,0),K215="Yes",L215="Yes"),"Pass","Fail"))</f>
        <v/>
      </c>
      <c r="AA215" s="31" t="str">
        <f aca="false">IF($A215="","",IF(COUNTIF(M215:P215,"Yes")=4,"Pass","Fail"))</f>
        <v/>
      </c>
      <c r="AB215" s="31" t="str">
        <f aca="false">IF($A215="","",SUM(Q215:U215))</f>
        <v/>
      </c>
      <c r="AC215" s="31" t="str">
        <f aca="false">IF($A215="","",IF(OR(Y215="Fail",X215="Yes",V215&lt;&gt;"Yes"),"Not a fit",IF(OR(Z215="Fail",AA215="Fail"),"Development pathway",IF(AB215&gt;=Settings!$B$5,"Qualified: high intent",IF(AB215&gt;=Settings!$B$6,"Qualified: nurture","Development pathway")))))</f>
        <v/>
      </c>
      <c r="AD215" s="32"/>
    </row>
    <row r="216" customFormat="false" ht="15" hidden="false" customHeight="false" outlineLevel="0" collapsed="false">
      <c r="A216" s="29"/>
      <c r="B216" s="29"/>
      <c r="C216" s="29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1" t="str">
        <f aca="false">IF($A216="","",IF(COUNTIF(F216:I216,"Yes")=4,"Pass","Fail"))</f>
        <v/>
      </c>
      <c r="Z216" s="31" t="str">
        <f aca="false">IF($A216="","",IF(AND(IFERROR(MATCH(J216,Settings!$A$10:$A$14,0),0)&gt;=MATCH(Settings!$B$4,Settings!$A$10:$A$14,0),K216="Yes",L216="Yes"),"Pass","Fail"))</f>
        <v/>
      </c>
      <c r="AA216" s="31" t="str">
        <f aca="false">IF($A216="","",IF(COUNTIF(M216:P216,"Yes")=4,"Pass","Fail"))</f>
        <v/>
      </c>
      <c r="AB216" s="31" t="str">
        <f aca="false">IF($A216="","",SUM(Q216:U216))</f>
        <v/>
      </c>
      <c r="AC216" s="31" t="str">
        <f aca="false">IF($A216="","",IF(OR(Y216="Fail",X216="Yes",V216&lt;&gt;"Yes"),"Not a fit",IF(OR(Z216="Fail",AA216="Fail"),"Development pathway",IF(AB216&gt;=Settings!$B$5,"Qualified: high intent",IF(AB216&gt;=Settings!$B$6,"Qualified: nurture","Development pathway")))))</f>
        <v/>
      </c>
      <c r="AD216" s="32"/>
    </row>
    <row r="217" customFormat="false" ht="15" hidden="false" customHeight="false" outlineLevel="0" collapsed="false">
      <c r="A217" s="29"/>
      <c r="B217" s="29"/>
      <c r="C217" s="29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1" t="str">
        <f aca="false">IF($A217="","",IF(COUNTIF(F217:I217,"Yes")=4,"Pass","Fail"))</f>
        <v/>
      </c>
      <c r="Z217" s="31" t="str">
        <f aca="false">IF($A217="","",IF(AND(IFERROR(MATCH(J217,Settings!$A$10:$A$14,0),0)&gt;=MATCH(Settings!$B$4,Settings!$A$10:$A$14,0),K217="Yes",L217="Yes"),"Pass","Fail"))</f>
        <v/>
      </c>
      <c r="AA217" s="31" t="str">
        <f aca="false">IF($A217="","",IF(COUNTIF(M217:P217,"Yes")=4,"Pass","Fail"))</f>
        <v/>
      </c>
      <c r="AB217" s="31" t="str">
        <f aca="false">IF($A217="","",SUM(Q217:U217))</f>
        <v/>
      </c>
      <c r="AC217" s="31" t="str">
        <f aca="false">IF($A217="","",IF(OR(Y217="Fail",X217="Yes",V217&lt;&gt;"Yes"),"Not a fit",IF(OR(Z217="Fail",AA217="Fail"),"Development pathway",IF(AB217&gt;=Settings!$B$5,"Qualified: high intent",IF(AB217&gt;=Settings!$B$6,"Qualified: nurture","Development pathway")))))</f>
        <v/>
      </c>
      <c r="AD217" s="32"/>
    </row>
    <row r="218" customFormat="false" ht="15" hidden="false" customHeight="false" outlineLevel="0" collapsed="false">
      <c r="A218" s="29"/>
      <c r="B218" s="29"/>
      <c r="C218" s="29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1" t="str">
        <f aca="false">IF($A218="","",IF(COUNTIF(F218:I218,"Yes")=4,"Pass","Fail"))</f>
        <v/>
      </c>
      <c r="Z218" s="31" t="str">
        <f aca="false">IF($A218="","",IF(AND(IFERROR(MATCH(J218,Settings!$A$10:$A$14,0),0)&gt;=MATCH(Settings!$B$4,Settings!$A$10:$A$14,0),K218="Yes",L218="Yes"),"Pass","Fail"))</f>
        <v/>
      </c>
      <c r="AA218" s="31" t="str">
        <f aca="false">IF($A218="","",IF(COUNTIF(M218:P218,"Yes")=4,"Pass","Fail"))</f>
        <v/>
      </c>
      <c r="AB218" s="31" t="str">
        <f aca="false">IF($A218="","",SUM(Q218:U218))</f>
        <v/>
      </c>
      <c r="AC218" s="31" t="str">
        <f aca="false">IF($A218="","",IF(OR(Y218="Fail",X218="Yes",V218&lt;&gt;"Yes"),"Not a fit",IF(OR(Z218="Fail",AA218="Fail"),"Development pathway",IF(AB218&gt;=Settings!$B$5,"Qualified: high intent",IF(AB218&gt;=Settings!$B$6,"Qualified: nurture","Development pathway")))))</f>
        <v/>
      </c>
      <c r="AD218" s="32"/>
    </row>
    <row r="219" customFormat="false" ht="15" hidden="false" customHeight="false" outlineLevel="0" collapsed="false">
      <c r="A219" s="29"/>
      <c r="B219" s="29"/>
      <c r="C219" s="29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1" t="str">
        <f aca="false">IF($A219="","",IF(COUNTIF(F219:I219,"Yes")=4,"Pass","Fail"))</f>
        <v/>
      </c>
      <c r="Z219" s="31" t="str">
        <f aca="false">IF($A219="","",IF(AND(IFERROR(MATCH(J219,Settings!$A$10:$A$14,0),0)&gt;=MATCH(Settings!$B$4,Settings!$A$10:$A$14,0),K219="Yes",L219="Yes"),"Pass","Fail"))</f>
        <v/>
      </c>
      <c r="AA219" s="31" t="str">
        <f aca="false">IF($A219="","",IF(COUNTIF(M219:P219,"Yes")=4,"Pass","Fail"))</f>
        <v/>
      </c>
      <c r="AB219" s="31" t="str">
        <f aca="false">IF($A219="","",SUM(Q219:U219))</f>
        <v/>
      </c>
      <c r="AC219" s="31" t="str">
        <f aca="false">IF($A219="","",IF(OR(Y219="Fail",X219="Yes",V219&lt;&gt;"Yes"),"Not a fit",IF(OR(Z219="Fail",AA219="Fail"),"Development pathway",IF(AB219&gt;=Settings!$B$5,"Qualified: high intent",IF(AB219&gt;=Settings!$B$6,"Qualified: nurture","Development pathway")))))</f>
        <v/>
      </c>
      <c r="AD219" s="32"/>
    </row>
    <row r="220" customFormat="false" ht="15" hidden="false" customHeight="false" outlineLevel="0" collapsed="false">
      <c r="A220" s="29"/>
      <c r="B220" s="29"/>
      <c r="C220" s="29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1" t="str">
        <f aca="false">IF($A220="","",IF(COUNTIF(F220:I220,"Yes")=4,"Pass","Fail"))</f>
        <v/>
      </c>
      <c r="Z220" s="31" t="str">
        <f aca="false">IF($A220="","",IF(AND(IFERROR(MATCH(J220,Settings!$A$10:$A$14,0),0)&gt;=MATCH(Settings!$B$4,Settings!$A$10:$A$14,0),K220="Yes",L220="Yes"),"Pass","Fail"))</f>
        <v/>
      </c>
      <c r="AA220" s="31" t="str">
        <f aca="false">IF($A220="","",IF(COUNTIF(M220:P220,"Yes")=4,"Pass","Fail"))</f>
        <v/>
      </c>
      <c r="AB220" s="31" t="str">
        <f aca="false">IF($A220="","",SUM(Q220:U220))</f>
        <v/>
      </c>
      <c r="AC220" s="31" t="str">
        <f aca="false">IF($A220="","",IF(OR(Y220="Fail",X220="Yes",V220&lt;&gt;"Yes"),"Not a fit",IF(OR(Z220="Fail",AA220="Fail"),"Development pathway",IF(AB220&gt;=Settings!$B$5,"Qualified: high intent",IF(AB220&gt;=Settings!$B$6,"Qualified: nurture","Development pathway")))))</f>
        <v/>
      </c>
      <c r="AD220" s="32"/>
    </row>
    <row r="221" customFormat="false" ht="15" hidden="false" customHeight="false" outlineLevel="0" collapsed="false">
      <c r="A221" s="29"/>
      <c r="B221" s="29"/>
      <c r="C221" s="29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1" t="str">
        <f aca="false">IF($A221="","",IF(COUNTIF(F221:I221,"Yes")=4,"Pass","Fail"))</f>
        <v/>
      </c>
      <c r="Z221" s="31" t="str">
        <f aca="false">IF($A221="","",IF(AND(IFERROR(MATCH(J221,Settings!$A$10:$A$14,0),0)&gt;=MATCH(Settings!$B$4,Settings!$A$10:$A$14,0),K221="Yes",L221="Yes"),"Pass","Fail"))</f>
        <v/>
      </c>
      <c r="AA221" s="31" t="str">
        <f aca="false">IF($A221="","",IF(COUNTIF(M221:P221,"Yes")=4,"Pass","Fail"))</f>
        <v/>
      </c>
      <c r="AB221" s="31" t="str">
        <f aca="false">IF($A221="","",SUM(Q221:U221))</f>
        <v/>
      </c>
      <c r="AC221" s="31" t="str">
        <f aca="false">IF($A221="","",IF(OR(Y221="Fail",X221="Yes",V221&lt;&gt;"Yes"),"Not a fit",IF(OR(Z221="Fail",AA221="Fail"),"Development pathway",IF(AB221&gt;=Settings!$B$5,"Qualified: high intent",IF(AB221&gt;=Settings!$B$6,"Qualified: nurture","Development pathway")))))</f>
        <v/>
      </c>
      <c r="AD221" s="32"/>
    </row>
  </sheetData>
  <mergeCells count="7">
    <mergeCell ref="A20:E20"/>
    <mergeCell ref="F20:I20"/>
    <mergeCell ref="J20:L20"/>
    <mergeCell ref="M20:P20"/>
    <mergeCell ref="Q20:U20"/>
    <mergeCell ref="V20:W20"/>
    <mergeCell ref="Y20:AC20"/>
  </mergeCells>
  <dataValidations count="3">
    <dataValidation allowBlank="false" errorStyle="stop" operator="between" showDropDown="false" showErrorMessage="false" showInputMessage="false" sqref="F22:I221 K22:P221 V22:V221 X22:X221" type="list">
      <formula1>"Yes,No"</formula1>
      <formula2>0</formula2>
    </dataValidation>
    <dataValidation allowBlank="false" errorStyle="stop" operator="between" showDropDown="false" showErrorMessage="false" showInputMessage="false" sqref="Q22:U221 W22:W221" type="list">
      <formula1>"0,1,2"</formula1>
      <formula2>0</formula2>
    </dataValidation>
    <dataValidation allowBlank="false" errorStyle="stop" operator="between" showDropDown="false" showErrorMessage="false" showInputMessage="false" sqref="J22:J221" type="list">
      <formula1>Settings!$A$10:$A$14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6" t="s">
        <v>83</v>
      </c>
    </row>
    <row r="3" customFormat="false" ht="23.85" hidden="false" customHeight="false" outlineLevel="0" collapsed="false">
      <c r="A3" s="25" t="s">
        <v>84</v>
      </c>
      <c r="B3" s="25" t="s">
        <v>85</v>
      </c>
      <c r="C3" s="25" t="s">
        <v>86</v>
      </c>
      <c r="D3" s="25" t="s">
        <v>87</v>
      </c>
      <c r="E3" s="25" t="s">
        <v>88</v>
      </c>
    </row>
    <row r="4" customFormat="false" ht="15" hidden="false" customHeight="false" outlineLevel="0" collapsed="false">
      <c r="A4" s="33" t="s">
        <v>89</v>
      </c>
      <c r="B4" s="33"/>
      <c r="C4" s="33"/>
      <c r="D4" s="33"/>
      <c r="E4" s="33"/>
    </row>
    <row r="5" customFormat="false" ht="23.85" hidden="false" customHeight="false" outlineLevel="0" collapsed="false">
      <c r="A5" s="34" t="s">
        <v>90</v>
      </c>
      <c r="B5" s="32" t="s">
        <v>91</v>
      </c>
      <c r="C5" s="32" t="s">
        <v>92</v>
      </c>
      <c r="D5" s="32" t="s">
        <v>93</v>
      </c>
      <c r="E5" s="32" t="s">
        <v>94</v>
      </c>
    </row>
    <row r="6" customFormat="false" ht="23.85" hidden="false" customHeight="false" outlineLevel="0" collapsed="false">
      <c r="A6" s="34" t="s">
        <v>95</v>
      </c>
      <c r="B6" s="32" t="s">
        <v>96</v>
      </c>
      <c r="C6" s="32" t="s">
        <v>97</v>
      </c>
      <c r="D6" s="32" t="s">
        <v>98</v>
      </c>
      <c r="E6" s="32" t="s">
        <v>94</v>
      </c>
    </row>
    <row r="7" customFormat="false" ht="23.85" hidden="false" customHeight="false" outlineLevel="0" collapsed="false">
      <c r="A7" s="34" t="s">
        <v>99</v>
      </c>
      <c r="B7" s="32" t="s">
        <v>100</v>
      </c>
      <c r="C7" s="32" t="s">
        <v>101</v>
      </c>
      <c r="D7" s="32" t="s">
        <v>102</v>
      </c>
      <c r="E7" s="32" t="s">
        <v>94</v>
      </c>
    </row>
    <row r="8" customFormat="false" ht="15" hidden="false" customHeight="false" outlineLevel="0" collapsed="false">
      <c r="A8" s="34" t="s">
        <v>103</v>
      </c>
      <c r="B8" s="32" t="s">
        <v>104</v>
      </c>
      <c r="C8" s="32" t="s">
        <v>105</v>
      </c>
      <c r="D8" s="32" t="s">
        <v>106</v>
      </c>
      <c r="E8" s="32" t="s">
        <v>94</v>
      </c>
    </row>
    <row r="9" customFormat="false" ht="15" hidden="false" customHeight="false" outlineLevel="0" collapsed="false">
      <c r="A9" s="33" t="s">
        <v>107</v>
      </c>
      <c r="B9" s="33"/>
      <c r="C9" s="33"/>
      <c r="D9" s="33"/>
      <c r="E9" s="33"/>
    </row>
    <row r="10" customFormat="false" ht="15" hidden="false" customHeight="false" outlineLevel="0" collapsed="false">
      <c r="A10" s="34" t="s">
        <v>108</v>
      </c>
      <c r="B10" s="32" t="s">
        <v>109</v>
      </c>
      <c r="C10" s="32" t="s">
        <v>110</v>
      </c>
      <c r="D10" s="32" t="s">
        <v>111</v>
      </c>
      <c r="E10" s="32" t="s">
        <v>112</v>
      </c>
    </row>
    <row r="11" customFormat="false" ht="15" hidden="false" customHeight="false" outlineLevel="0" collapsed="false">
      <c r="A11" s="34" t="s">
        <v>113</v>
      </c>
      <c r="B11" s="32" t="s">
        <v>114</v>
      </c>
      <c r="C11" s="32" t="s">
        <v>115</v>
      </c>
      <c r="D11" s="32" t="s">
        <v>116</v>
      </c>
      <c r="E11" s="32" t="s">
        <v>94</v>
      </c>
    </row>
    <row r="12" customFormat="false" ht="15" hidden="false" customHeight="false" outlineLevel="0" collapsed="false">
      <c r="A12" s="34" t="s">
        <v>117</v>
      </c>
      <c r="B12" s="32" t="s">
        <v>118</v>
      </c>
      <c r="C12" s="32" t="s">
        <v>119</v>
      </c>
      <c r="D12" s="32" t="s">
        <v>120</v>
      </c>
      <c r="E12" s="32" t="s">
        <v>94</v>
      </c>
    </row>
    <row r="13" customFormat="false" ht="15" hidden="false" customHeight="false" outlineLevel="0" collapsed="false">
      <c r="A13" s="33" t="s">
        <v>121</v>
      </c>
      <c r="B13" s="33"/>
      <c r="C13" s="33"/>
      <c r="D13" s="33"/>
      <c r="E13" s="33"/>
    </row>
    <row r="14" customFormat="false" ht="15" hidden="false" customHeight="false" outlineLevel="0" collapsed="false">
      <c r="A14" s="34" t="s">
        <v>122</v>
      </c>
      <c r="B14" s="32" t="s">
        <v>123</v>
      </c>
      <c r="C14" s="32" t="s">
        <v>124</v>
      </c>
      <c r="D14" s="32" t="s">
        <v>125</v>
      </c>
      <c r="E14" s="32" t="s">
        <v>94</v>
      </c>
    </row>
    <row r="15" customFormat="false" ht="15" hidden="false" customHeight="false" outlineLevel="0" collapsed="false">
      <c r="A15" s="34" t="s">
        <v>126</v>
      </c>
      <c r="B15" s="32" t="s">
        <v>127</v>
      </c>
      <c r="C15" s="32" t="s">
        <v>128</v>
      </c>
      <c r="D15" s="32" t="s">
        <v>129</v>
      </c>
      <c r="E15" s="32" t="s">
        <v>94</v>
      </c>
    </row>
    <row r="16" customFormat="false" ht="15" hidden="false" customHeight="false" outlineLevel="0" collapsed="false">
      <c r="A16" s="34" t="s">
        <v>130</v>
      </c>
      <c r="B16" s="32" t="s">
        <v>131</v>
      </c>
      <c r="C16" s="32" t="s">
        <v>132</v>
      </c>
      <c r="D16" s="32" t="s">
        <v>133</v>
      </c>
      <c r="E16" s="32" t="s">
        <v>94</v>
      </c>
    </row>
    <row r="17" customFormat="false" ht="23.85" hidden="false" customHeight="false" outlineLevel="0" collapsed="false">
      <c r="A17" s="34" t="s">
        <v>134</v>
      </c>
      <c r="B17" s="32" t="s">
        <v>135</v>
      </c>
      <c r="C17" s="32" t="s">
        <v>136</v>
      </c>
      <c r="D17" s="32" t="s">
        <v>137</v>
      </c>
      <c r="E17" s="32" t="s">
        <v>94</v>
      </c>
    </row>
    <row r="18" customFormat="false" ht="15" hidden="false" customHeight="false" outlineLevel="0" collapsed="false">
      <c r="A18" s="33" t="s">
        <v>138</v>
      </c>
      <c r="B18" s="33"/>
      <c r="C18" s="33"/>
      <c r="D18" s="33"/>
      <c r="E18" s="33"/>
    </row>
    <row r="19" customFormat="false" ht="15" hidden="false" customHeight="false" outlineLevel="0" collapsed="false">
      <c r="A19" s="34" t="s">
        <v>139</v>
      </c>
      <c r="B19" s="32" t="s">
        <v>140</v>
      </c>
      <c r="C19" s="32" t="s">
        <v>141</v>
      </c>
      <c r="D19" s="32" t="s">
        <v>142</v>
      </c>
      <c r="E19" s="32" t="s">
        <v>143</v>
      </c>
    </row>
    <row r="20" customFormat="false" ht="15" hidden="false" customHeight="false" outlineLevel="0" collapsed="false">
      <c r="A20" s="34" t="s">
        <v>144</v>
      </c>
      <c r="B20" s="32" t="s">
        <v>145</v>
      </c>
      <c r="C20" s="32" t="s">
        <v>146</v>
      </c>
      <c r="D20" s="32" t="s">
        <v>147</v>
      </c>
      <c r="E20" s="32" t="s">
        <v>143</v>
      </c>
    </row>
    <row r="21" customFormat="false" ht="15" hidden="false" customHeight="false" outlineLevel="0" collapsed="false">
      <c r="A21" s="34" t="s">
        <v>148</v>
      </c>
      <c r="B21" s="32" t="s">
        <v>149</v>
      </c>
      <c r="C21" s="32" t="s">
        <v>150</v>
      </c>
      <c r="D21" s="32" t="s">
        <v>151</v>
      </c>
      <c r="E21" s="32" t="s">
        <v>143</v>
      </c>
    </row>
    <row r="22" customFormat="false" ht="15" hidden="false" customHeight="false" outlineLevel="0" collapsed="false">
      <c r="A22" s="34" t="s">
        <v>152</v>
      </c>
      <c r="B22" s="32" t="s">
        <v>153</v>
      </c>
      <c r="C22" s="32" t="s">
        <v>154</v>
      </c>
      <c r="D22" s="32" t="s">
        <v>155</v>
      </c>
      <c r="E22" s="32" t="s">
        <v>143</v>
      </c>
    </row>
    <row r="23" customFormat="false" ht="23.85" hidden="false" customHeight="false" outlineLevel="0" collapsed="false">
      <c r="A23" s="34" t="s">
        <v>156</v>
      </c>
      <c r="B23" s="32" t="s">
        <v>157</v>
      </c>
      <c r="C23" s="32" t="s">
        <v>158</v>
      </c>
      <c r="D23" s="32" t="s">
        <v>159</v>
      </c>
      <c r="E23" s="32" t="s">
        <v>143</v>
      </c>
    </row>
    <row r="24" customFormat="false" ht="15" hidden="false" customHeight="false" outlineLevel="0" collapsed="false">
      <c r="A24" s="35" t="s">
        <v>160</v>
      </c>
      <c r="B24" s="35"/>
      <c r="C24" s="35"/>
      <c r="D24" s="35"/>
      <c r="E24" s="35"/>
    </row>
    <row r="25" customFormat="false" ht="23.85" hidden="false" customHeight="false" outlineLevel="0" collapsed="false">
      <c r="A25" s="34" t="s">
        <v>161</v>
      </c>
      <c r="B25" s="32" t="s">
        <v>162</v>
      </c>
      <c r="C25" s="32" t="s">
        <v>163</v>
      </c>
      <c r="D25" s="32" t="s">
        <v>164</v>
      </c>
      <c r="E25" s="32" t="s">
        <v>165</v>
      </c>
    </row>
    <row r="26" customFormat="false" ht="23.85" hidden="false" customHeight="false" outlineLevel="0" collapsed="false">
      <c r="A26" s="34" t="s">
        <v>166</v>
      </c>
      <c r="B26" s="32" t="s">
        <v>167</v>
      </c>
      <c r="C26" s="32" t="s">
        <v>168</v>
      </c>
      <c r="D26" s="32" t="s">
        <v>169</v>
      </c>
      <c r="E26" s="32" t="s">
        <v>143</v>
      </c>
    </row>
    <row r="28" customFormat="false" ht="30" hidden="false" customHeight="true" outlineLevel="0" collapsed="false">
      <c r="A28" s="36" t="s">
        <v>170</v>
      </c>
      <c r="B28" s="36"/>
      <c r="C28" s="36"/>
      <c r="D28" s="36"/>
      <c r="E28" s="36"/>
    </row>
  </sheetData>
  <mergeCells count="6">
    <mergeCell ref="A4:E4"/>
    <mergeCell ref="A9:E9"/>
    <mergeCell ref="A13:E13"/>
    <mergeCell ref="A18:E18"/>
    <mergeCell ref="A24:E24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80"/>
  </cols>
  <sheetData>
    <row r="1" customFormat="false" ht="19.7" hidden="false" customHeight="false" outlineLevel="0" collapsed="false">
      <c r="A1" s="16" t="s">
        <v>171</v>
      </c>
    </row>
    <row r="2" customFormat="false" ht="15" hidden="false" customHeight="false" outlineLevel="0" collapsed="false">
      <c r="A2" s="17" t="s">
        <v>172</v>
      </c>
    </row>
    <row r="4" customFormat="false" ht="15" hidden="false" customHeight="false" outlineLevel="0" collapsed="false">
      <c r="A4" s="21" t="s">
        <v>173</v>
      </c>
      <c r="B4" s="37" t="s">
        <v>27</v>
      </c>
      <c r="C4" s="38" t="s">
        <v>174</v>
      </c>
    </row>
    <row r="5" customFormat="false" ht="15" hidden="false" customHeight="false" outlineLevel="0" collapsed="false">
      <c r="A5" s="21" t="s">
        <v>175</v>
      </c>
      <c r="B5" s="37" t="n">
        <v>8</v>
      </c>
      <c r="C5" s="38" t="s">
        <v>176</v>
      </c>
    </row>
    <row r="6" customFormat="false" ht="15" hidden="false" customHeight="false" outlineLevel="0" collapsed="false">
      <c r="A6" s="21" t="s">
        <v>177</v>
      </c>
      <c r="B6" s="37" t="n">
        <v>5</v>
      </c>
      <c r="C6" s="38" t="s">
        <v>176</v>
      </c>
    </row>
    <row r="9" customFormat="false" ht="15" hidden="false" customHeight="false" outlineLevel="0" collapsed="false">
      <c r="A9" s="39" t="s">
        <v>178</v>
      </c>
    </row>
    <row r="10" customFormat="false" ht="15" hidden="false" customHeight="false" outlineLevel="0" collapsed="false">
      <c r="A10" s="40" t="s">
        <v>27</v>
      </c>
      <c r="B10" s="40" t="n">
        <v>1</v>
      </c>
    </row>
    <row r="11" customFormat="false" ht="15" hidden="false" customHeight="false" outlineLevel="0" collapsed="false">
      <c r="A11" s="40" t="s">
        <v>29</v>
      </c>
      <c r="B11" s="40" t="n">
        <v>2</v>
      </c>
    </row>
    <row r="12" customFormat="false" ht="15" hidden="false" customHeight="false" outlineLevel="0" collapsed="false">
      <c r="A12" s="40" t="s">
        <v>31</v>
      </c>
      <c r="B12" s="40" t="n">
        <v>3</v>
      </c>
    </row>
    <row r="13" customFormat="false" ht="15" hidden="false" customHeight="false" outlineLevel="0" collapsed="false">
      <c r="A13" s="40" t="s">
        <v>33</v>
      </c>
      <c r="B13" s="40" t="n">
        <v>4</v>
      </c>
    </row>
    <row r="14" customFormat="false" ht="15" hidden="false" customHeight="false" outlineLevel="0" collapsed="false">
      <c r="A14" s="40" t="s">
        <v>35</v>
      </c>
      <c r="B14" s="40" t="n">
        <v>5</v>
      </c>
    </row>
  </sheetData>
  <dataValidations count="1">
    <dataValidation allowBlank="false" errorStyle="stop" operator="between" showDropDown="false" showErrorMessage="false" showInputMessage="false" sqref="B4" type="list">
      <formula1>$A$10:$A$14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2026-09-28T09:55:53Z</dcterms:created>
  <dc:creator>openpyxl</dc:creator>
  <dc:description/>
  <dc:language>en-US</dc:language>
  <cp:lastModifiedBy/>
  <dcterms:modified xsi:type="dcterms:W3CDTF">2026-09-28T09:55:56Z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